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1808\Downloads\"/>
    </mc:Choice>
  </mc:AlternateContent>
  <bookViews>
    <workbookView xWindow="0" yWindow="0" windowWidth="19200" windowHeight="7180" activeTab="3"/>
  </bookViews>
  <sheets>
    <sheet name="ULB_Wise_Report_22 October 2026" sheetId="1" r:id="rId1"/>
    <sheet name="Sheet4" sheetId="5" r:id="rId2"/>
    <sheet name="Grounded" sheetId="6" r:id="rId3"/>
    <sheet name="lintel" sheetId="7" r:id="rId4"/>
  </sheets>
  <definedNames>
    <definedName name="_xlnm._FilterDatabase" localSheetId="2" hidden="1">Grounded!$A$2:$I$2</definedName>
    <definedName name="_xlnm._FilterDatabase" localSheetId="3" hidden="1">lintel!$A$2:$J$2</definedName>
    <definedName name="_xlnm.Print_Area" localSheetId="2">Grounded!$A$1:$I$27</definedName>
    <definedName name="_xlnm.Print_Titles" localSheetId="2">Grounded!$2:$2</definedName>
    <definedName name="_xlnm.Print_Titles" localSheetId="3">lintel!$2:$2</definedName>
  </definedNames>
  <calcPr calcId="152511"/>
</workbook>
</file>

<file path=xl/calcChain.xml><?xml version="1.0" encoding="utf-8"?>
<calcChain xmlns="http://schemas.openxmlformats.org/spreadsheetml/2006/main">
  <c r="D262" i="7" l="1"/>
  <c r="E262" i="7"/>
  <c r="F262" i="7"/>
  <c r="G262" i="7"/>
  <c r="H262" i="7"/>
  <c r="I262" i="7"/>
  <c r="J262" i="7"/>
  <c r="C262" i="7"/>
  <c r="J18" i="7"/>
  <c r="J127" i="7"/>
  <c r="J122" i="7"/>
  <c r="J43" i="7"/>
  <c r="J151" i="7"/>
  <c r="J139" i="7"/>
  <c r="J259" i="7"/>
  <c r="J88" i="7"/>
  <c r="J41" i="7"/>
  <c r="J173" i="7"/>
  <c r="J189" i="7"/>
  <c r="J44" i="7"/>
  <c r="J7" i="7"/>
  <c r="J46" i="7"/>
  <c r="J40" i="7"/>
  <c r="J129" i="7"/>
  <c r="J49" i="7"/>
  <c r="J28" i="7"/>
  <c r="J100" i="7"/>
  <c r="J102" i="7"/>
  <c r="J69" i="7"/>
  <c r="J31" i="7"/>
  <c r="J23" i="7"/>
  <c r="J76" i="7"/>
  <c r="J38" i="7"/>
  <c r="J91" i="7"/>
  <c r="J62" i="7"/>
  <c r="J52" i="7"/>
  <c r="J6" i="7"/>
  <c r="J170" i="7"/>
  <c r="J10" i="7"/>
  <c r="J24" i="7"/>
  <c r="J181" i="7"/>
  <c r="J144" i="7"/>
  <c r="J71" i="7"/>
  <c r="J110" i="7"/>
  <c r="J155" i="7"/>
  <c r="J15" i="7"/>
  <c r="J193" i="7"/>
  <c r="J39" i="7"/>
  <c r="J19" i="7"/>
  <c r="J202" i="7"/>
  <c r="J34" i="7"/>
  <c r="J119" i="7"/>
  <c r="J8" i="7"/>
  <c r="J56" i="7"/>
  <c r="J11" i="7"/>
  <c r="J14" i="7"/>
  <c r="J216" i="7"/>
  <c r="J48" i="7"/>
  <c r="J103" i="7"/>
  <c r="J81" i="7"/>
  <c r="J171" i="7"/>
  <c r="J89" i="7"/>
  <c r="J13" i="7"/>
  <c r="J65" i="7"/>
  <c r="J182" i="7"/>
  <c r="J77" i="7"/>
  <c r="J17" i="7"/>
  <c r="J134" i="7"/>
  <c r="J42" i="7"/>
  <c r="J161" i="7"/>
  <c r="J61" i="7"/>
  <c r="J57" i="7"/>
  <c r="J12" i="7"/>
  <c r="J108" i="7"/>
  <c r="J93" i="7"/>
  <c r="J66" i="7"/>
  <c r="J191" i="7"/>
  <c r="J107" i="7"/>
  <c r="J29" i="7"/>
  <c r="J32" i="7"/>
  <c r="J113" i="7"/>
  <c r="J149" i="7"/>
  <c r="J47" i="7"/>
  <c r="J131" i="7"/>
  <c r="J58" i="7"/>
  <c r="J82" i="7"/>
  <c r="J27" i="7"/>
  <c r="J167" i="7"/>
  <c r="J154" i="7"/>
  <c r="J3" i="7"/>
  <c r="J84" i="7"/>
  <c r="J67" i="7"/>
  <c r="J70" i="7"/>
  <c r="J98" i="7"/>
  <c r="J164" i="7"/>
  <c r="J208" i="7"/>
  <c r="J68" i="7"/>
  <c r="J33" i="7"/>
  <c r="J190" i="7"/>
  <c r="J22" i="7"/>
  <c r="J115" i="7"/>
  <c r="J246" i="7"/>
  <c r="J177" i="7"/>
  <c r="J5" i="7"/>
  <c r="J90" i="7"/>
  <c r="J74" i="7"/>
  <c r="J51" i="7"/>
  <c r="J20" i="7"/>
  <c r="J204" i="7"/>
  <c r="J207" i="7"/>
  <c r="J203" i="7"/>
  <c r="J55" i="7"/>
  <c r="J132" i="7"/>
  <c r="J111" i="7"/>
  <c r="J4" i="7"/>
  <c r="J83" i="7"/>
  <c r="J136" i="7"/>
  <c r="J249" i="7"/>
  <c r="J146" i="7"/>
  <c r="J248" i="7"/>
  <c r="J220" i="7"/>
  <c r="J50" i="7"/>
  <c r="J156" i="7"/>
  <c r="J214" i="7"/>
  <c r="J158" i="7"/>
  <c r="J45" i="7"/>
  <c r="J53" i="7"/>
  <c r="J96" i="7"/>
  <c r="J241" i="7"/>
  <c r="J79" i="7"/>
  <c r="J104" i="7"/>
  <c r="J59" i="7"/>
  <c r="J133" i="7"/>
  <c r="J244" i="7"/>
  <c r="J157" i="7"/>
  <c r="J168" i="7"/>
  <c r="J142" i="7"/>
  <c r="J150" i="7"/>
  <c r="J92" i="7"/>
  <c r="J78" i="7"/>
  <c r="J30" i="7"/>
  <c r="J179" i="7"/>
  <c r="J169" i="7"/>
  <c r="J80" i="7"/>
  <c r="J114" i="7"/>
  <c r="J85" i="7"/>
  <c r="J145" i="7"/>
  <c r="J120" i="7"/>
  <c r="J159" i="7"/>
  <c r="J224" i="7"/>
  <c r="J54" i="7"/>
  <c r="J192" i="7"/>
  <c r="J178" i="7"/>
  <c r="J87" i="7"/>
  <c r="J198" i="7"/>
  <c r="J37" i="7"/>
  <c r="J135" i="7"/>
  <c r="J172" i="7"/>
  <c r="J121" i="7"/>
  <c r="J260" i="7"/>
  <c r="J183" i="7"/>
  <c r="J36" i="7"/>
  <c r="J236" i="7"/>
  <c r="J112" i="7"/>
  <c r="J123" i="7"/>
  <c r="J75" i="7"/>
  <c r="J128" i="7"/>
  <c r="J184" i="7"/>
  <c r="J99" i="7"/>
  <c r="J26" i="7"/>
  <c r="J196" i="7"/>
  <c r="J86" i="7"/>
  <c r="J125" i="7"/>
  <c r="J105" i="7"/>
  <c r="J152" i="7"/>
  <c r="J138" i="7"/>
  <c r="J106" i="7"/>
  <c r="J126" i="7"/>
  <c r="J141" i="7"/>
  <c r="J213" i="7"/>
  <c r="J73" i="7"/>
  <c r="J140" i="7"/>
  <c r="J210" i="7"/>
  <c r="J148" i="7"/>
  <c r="J221" i="7"/>
  <c r="J153" i="7"/>
  <c r="J235" i="7"/>
  <c r="J25" i="7"/>
  <c r="J256" i="7"/>
  <c r="J185" i="7"/>
  <c r="J188" i="7"/>
  <c r="J21" i="7"/>
  <c r="J97" i="7"/>
  <c r="J194" i="7"/>
  <c r="J212" i="7"/>
  <c r="J130" i="7"/>
  <c r="J165" i="7"/>
  <c r="J137" i="7"/>
  <c r="J147" i="7"/>
  <c r="J166" i="7"/>
  <c r="J211" i="7"/>
  <c r="J94" i="7"/>
  <c r="J257" i="7"/>
  <c r="J233" i="7"/>
  <c r="J117" i="7"/>
  <c r="J101" i="7"/>
  <c r="J228" i="7"/>
  <c r="J237" i="7"/>
  <c r="J225" i="7"/>
  <c r="J160" i="7"/>
  <c r="J238" i="7"/>
  <c r="J226" i="7"/>
  <c r="J72" i="7"/>
  <c r="J230" i="7"/>
  <c r="J174" i="7"/>
  <c r="J162" i="7"/>
  <c r="J199" i="7"/>
  <c r="J143" i="7"/>
  <c r="J175" i="7"/>
  <c r="J200" i="7"/>
  <c r="J63" i="7"/>
  <c r="J209" i="7"/>
  <c r="J60" i="7"/>
  <c r="J252" i="7"/>
  <c r="J239" i="7"/>
  <c r="J180" i="7"/>
  <c r="J116" i="7"/>
  <c r="J242" i="7"/>
  <c r="J215" i="7"/>
  <c r="J218" i="7"/>
  <c r="J95" i="7"/>
  <c r="J176" i="7"/>
  <c r="J245" i="7"/>
  <c r="J258" i="7"/>
  <c r="J254" i="7"/>
  <c r="J163" i="7"/>
  <c r="J118" i="7"/>
  <c r="J231" i="7"/>
  <c r="J222" i="7"/>
  <c r="J223" i="7"/>
  <c r="J16" i="7"/>
  <c r="J229" i="7"/>
  <c r="J205" i="7"/>
  <c r="J240" i="7"/>
  <c r="J253" i="7"/>
  <c r="J232" i="7"/>
  <c r="J250" i="7"/>
  <c r="J109" i="7"/>
  <c r="J201" i="7"/>
  <c r="J234" i="7"/>
  <c r="J255" i="7"/>
  <c r="J219" i="7"/>
  <c r="J217" i="7"/>
  <c r="J186" i="7"/>
  <c r="J227" i="7"/>
  <c r="J187" i="7"/>
  <c r="J124" i="7"/>
  <c r="J35" i="7"/>
  <c r="J195" i="7"/>
  <c r="J64" i="7"/>
  <c r="J206" i="7"/>
  <c r="J247" i="7"/>
  <c r="J261" i="7"/>
  <c r="J197" i="7"/>
  <c r="J251" i="7"/>
  <c r="J243" i="7"/>
  <c r="J9" i="7"/>
  <c r="I262" i="6"/>
  <c r="D262" i="6"/>
  <c r="E262" i="6"/>
  <c r="F262" i="6"/>
  <c r="G262" i="6"/>
  <c r="H262" i="6"/>
  <c r="C262" i="6"/>
  <c r="I237" i="6"/>
  <c r="I140" i="6"/>
  <c r="I225" i="6"/>
  <c r="I161" i="6"/>
  <c r="I82" i="6"/>
  <c r="I105" i="6"/>
  <c r="I257" i="6"/>
  <c r="I233" i="6"/>
  <c r="I39" i="6"/>
  <c r="I60" i="6"/>
  <c r="I199" i="6"/>
  <c r="I77" i="6"/>
  <c r="I258" i="6"/>
  <c r="I61" i="6"/>
  <c r="I243" i="6"/>
  <c r="I147" i="6"/>
  <c r="I238" i="6"/>
  <c r="I18" i="6"/>
  <c r="I52" i="6"/>
  <c r="I124" i="6"/>
  <c r="I25" i="6"/>
  <c r="I50" i="6"/>
  <c r="I154" i="6"/>
  <c r="I144" i="6"/>
  <c r="I188" i="6"/>
  <c r="I79" i="6"/>
  <c r="I158" i="6"/>
  <c r="I56" i="6"/>
  <c r="I156" i="6"/>
  <c r="I150" i="6"/>
  <c r="I215" i="6"/>
  <c r="I234" i="6"/>
  <c r="I204" i="6"/>
  <c r="I27" i="6"/>
  <c r="I33" i="6"/>
  <c r="I175" i="6"/>
  <c r="I83" i="6"/>
  <c r="I239" i="6"/>
  <c r="I230" i="6"/>
  <c r="I171" i="6"/>
  <c r="I195" i="6"/>
  <c r="I189" i="6"/>
  <c r="I100" i="6"/>
  <c r="I222" i="6"/>
  <c r="I75" i="6"/>
  <c r="I37" i="6"/>
  <c r="I62" i="6"/>
  <c r="I78" i="6"/>
  <c r="I15" i="6"/>
  <c r="I109" i="6"/>
  <c r="I31" i="6"/>
  <c r="I93" i="6"/>
  <c r="I49" i="6"/>
  <c r="I59" i="6"/>
  <c r="I3" i="6"/>
  <c r="I46" i="6"/>
  <c r="I76" i="6"/>
  <c r="I40" i="6"/>
  <c r="I13" i="6"/>
  <c r="I201" i="6"/>
  <c r="I24" i="6"/>
  <c r="I205" i="6"/>
  <c r="I121" i="6"/>
  <c r="I197" i="6"/>
  <c r="I226" i="6"/>
  <c r="I200" i="6"/>
  <c r="I96" i="6"/>
  <c r="I7" i="6"/>
  <c r="I185" i="6"/>
  <c r="I72" i="6"/>
  <c r="I219" i="6"/>
  <c r="I20" i="6"/>
  <c r="I131" i="6"/>
  <c r="I168" i="6"/>
  <c r="I64" i="6"/>
  <c r="I169" i="6"/>
  <c r="I176" i="6"/>
  <c r="I206" i="6"/>
  <c r="I180" i="6"/>
  <c r="I198" i="6"/>
  <c r="I227" i="6"/>
  <c r="I249" i="6"/>
  <c r="I149" i="6"/>
  <c r="I212" i="6"/>
  <c r="I216" i="6"/>
  <c r="I177" i="6"/>
  <c r="I213" i="6"/>
  <c r="I179" i="6"/>
  <c r="I126" i="6"/>
  <c r="I228" i="6"/>
  <c r="I122" i="6"/>
  <c r="I181" i="6"/>
  <c r="I118" i="6"/>
  <c r="I106" i="6"/>
  <c r="I191" i="6"/>
  <c r="I42" i="6"/>
  <c r="I48" i="6"/>
  <c r="I123" i="6"/>
  <c r="I186" i="6"/>
  <c r="I38" i="6"/>
  <c r="I163" i="6"/>
  <c r="I6" i="6"/>
  <c r="I12" i="6"/>
  <c r="I11" i="6"/>
  <c r="I178" i="6"/>
  <c r="I164" i="6"/>
  <c r="I85" i="6"/>
  <c r="I115" i="6"/>
  <c r="I252" i="6"/>
  <c r="I112" i="6"/>
  <c r="I125" i="6"/>
  <c r="I5" i="6"/>
  <c r="I66" i="6"/>
  <c r="I223" i="6"/>
  <c r="I170" i="6"/>
  <c r="I256" i="6"/>
  <c r="I231" i="6"/>
  <c r="I172" i="6"/>
  <c r="I217" i="6"/>
  <c r="I151" i="6"/>
  <c r="I130" i="6"/>
  <c r="I73" i="6"/>
  <c r="I117" i="6"/>
  <c r="I86" i="6"/>
  <c r="I102" i="6"/>
  <c r="I207" i="6"/>
  <c r="I98" i="6"/>
  <c r="I55" i="6"/>
  <c r="I89" i="6"/>
  <c r="I116" i="6"/>
  <c r="I90" i="6"/>
  <c r="I127" i="6"/>
  <c r="I259" i="6"/>
  <c r="I250" i="6"/>
  <c r="I101" i="6"/>
  <c r="I119" i="6"/>
  <c r="I254" i="6"/>
  <c r="I246" i="6"/>
  <c r="I162" i="6"/>
  <c r="I240" i="6"/>
  <c r="I63" i="6"/>
  <c r="I194" i="6"/>
  <c r="I229" i="6"/>
  <c r="I184" i="6"/>
  <c r="I145" i="6"/>
  <c r="I236" i="6"/>
  <c r="I88" i="6"/>
  <c r="I141" i="6"/>
  <c r="I138" i="6"/>
  <c r="I84" i="6"/>
  <c r="I57" i="6"/>
  <c r="I214" i="6"/>
  <c r="I87" i="6"/>
  <c r="I224" i="6"/>
  <c r="I44" i="6"/>
  <c r="I202" i="6"/>
  <c r="I152" i="6"/>
  <c r="I244" i="6"/>
  <c r="I183" i="6"/>
  <c r="I166" i="6"/>
  <c r="I247" i="6"/>
  <c r="I134" i="6"/>
  <c r="I241" i="6"/>
  <c r="I97" i="6"/>
  <c r="I47" i="6"/>
  <c r="I135" i="6"/>
  <c r="I113" i="6"/>
  <c r="I208" i="6"/>
  <c r="I209" i="6"/>
  <c r="I260" i="6"/>
  <c r="I245" i="6"/>
  <c r="I167" i="6"/>
  <c r="I248" i="6"/>
  <c r="I159" i="6"/>
  <c r="I10" i="6"/>
  <c r="I251" i="6"/>
  <c r="I210" i="6"/>
  <c r="I32" i="6"/>
  <c r="I255" i="6"/>
  <c r="I173" i="6"/>
  <c r="I107" i="6"/>
  <c r="I211" i="6"/>
  <c r="I8" i="6"/>
  <c r="I108" i="6"/>
  <c r="I143" i="6"/>
  <c r="I54" i="6"/>
  <c r="I34" i="6"/>
  <c r="I45" i="6"/>
  <c r="I139" i="6"/>
  <c r="I28" i="6"/>
  <c r="I67" i="6"/>
  <c r="I235" i="6"/>
  <c r="I203" i="6"/>
  <c r="I69" i="6"/>
  <c r="I196" i="6"/>
  <c r="I142" i="6"/>
  <c r="I192" i="6"/>
  <c r="I155" i="6"/>
  <c r="I193" i="6"/>
  <c r="I16" i="6"/>
  <c r="I70" i="6"/>
  <c r="I95" i="6"/>
  <c r="I253" i="6"/>
  <c r="I51" i="6"/>
  <c r="I99" i="6"/>
  <c r="I68" i="6"/>
  <c r="I111" i="6"/>
  <c r="I103" i="6"/>
  <c r="I21" i="6"/>
  <c r="I14" i="6"/>
  <c r="I19" i="6"/>
  <c r="I187" i="6"/>
  <c r="I53" i="6"/>
  <c r="I58" i="6"/>
  <c r="I65" i="6"/>
  <c r="I30" i="6"/>
  <c r="I80" i="6"/>
  <c r="I29" i="6"/>
  <c r="I81" i="6"/>
  <c r="I242" i="6"/>
  <c r="I74" i="6"/>
  <c r="I157" i="6"/>
  <c r="I128" i="6"/>
  <c r="I136" i="6"/>
  <c r="I133" i="6"/>
  <c r="I220" i="6"/>
  <c r="I148" i="6"/>
  <c r="I129" i="6"/>
  <c r="I160" i="6"/>
  <c r="I92" i="6"/>
  <c r="I190" i="6"/>
  <c r="I17" i="6"/>
  <c r="I22" i="6"/>
  <c r="I165" i="6"/>
  <c r="I4" i="6"/>
  <c r="I9" i="6"/>
  <c r="I182" i="6"/>
  <c r="I221" i="6"/>
  <c r="I232" i="6"/>
  <c r="I218" i="6"/>
  <c r="I94" i="6"/>
  <c r="I153" i="6"/>
  <c r="I91" i="6"/>
  <c r="I174" i="6"/>
  <c r="I110" i="6"/>
  <c r="I104" i="6"/>
  <c r="I132" i="6"/>
  <c r="I71" i="6"/>
  <c r="I43" i="6"/>
  <c r="I137" i="6"/>
  <c r="I35" i="6"/>
  <c r="I36" i="6"/>
  <c r="I41" i="6"/>
  <c r="I26" i="6"/>
  <c r="I120" i="6"/>
  <c r="I261" i="6"/>
  <c r="I23" i="6"/>
  <c r="I146" i="6"/>
  <c r="I114" i="6"/>
  <c r="D261" i="1"/>
  <c r="E261" i="1"/>
  <c r="F261" i="1"/>
  <c r="G261" i="1"/>
  <c r="H261" i="1"/>
  <c r="C26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" i="1"/>
</calcChain>
</file>

<file path=xl/sharedStrings.xml><?xml version="1.0" encoding="utf-8"?>
<sst xmlns="http://schemas.openxmlformats.org/spreadsheetml/2006/main" count="1068" uniqueCount="539">
  <si>
    <t>SNo</t>
  </si>
  <si>
    <t>Total</t>
  </si>
  <si>
    <t>Araria, Municipality</t>
  </si>
  <si>
    <t>Forbesganj, Municipality</t>
  </si>
  <si>
    <t>JOGABANI, MUNICIPALITY</t>
  </si>
  <si>
    <t>Jokihat, Town Panchayat</t>
  </si>
  <si>
    <t>NARPATGANJ, TOWN PANCHAYAT</t>
  </si>
  <si>
    <t>Raniganj, Town Panchayat</t>
  </si>
  <si>
    <t>Arwal, Municipality</t>
  </si>
  <si>
    <t>Kurtha, Town Panchayat</t>
  </si>
  <si>
    <t>Aurangabad, Municipality</t>
  </si>
  <si>
    <t>Barun, Town Panchayat</t>
  </si>
  <si>
    <t>DAUDNAGAR, MUNICIPALITY</t>
  </si>
  <si>
    <t>Deo, Town Panchayat</t>
  </si>
  <si>
    <t>Nabinagar, Town Panchayat</t>
  </si>
  <si>
    <t>Rafiganj, Town Panchayat</t>
  </si>
  <si>
    <t>Amarpur, Town Panchayat</t>
  </si>
  <si>
    <t>BANKA, MUNICIPALITY</t>
  </si>
  <si>
    <t>Bounsi, Town Panchayat</t>
  </si>
  <si>
    <t>Katoria, Town Panchayat</t>
  </si>
  <si>
    <t>Bakhri, Municipality</t>
  </si>
  <si>
    <t>Balia, Municipality</t>
  </si>
  <si>
    <t>Barauni, Municipality</t>
  </si>
  <si>
    <t>BEGUSARAI, MUNICIPAL CORPORATION</t>
  </si>
  <si>
    <t>Bihat, Municipality</t>
  </si>
  <si>
    <t>Teghra, Town Panchayat</t>
  </si>
  <si>
    <t>AKBARNAGAR, TOWN PANCHAYAT</t>
  </si>
  <si>
    <t>Bhagalpur, Municipal Corporation</t>
  </si>
  <si>
    <t>Habibpur, Town Panchayat</t>
  </si>
  <si>
    <t>Kahalgaon, Town Panchayat</t>
  </si>
  <si>
    <t>Naugachhia, Municipality</t>
  </si>
  <si>
    <t>Pirpainti, Town Panchayat</t>
  </si>
  <si>
    <t>Sabour, Town Panchayat</t>
  </si>
  <si>
    <t>Sultanganj, Municipality</t>
  </si>
  <si>
    <t>Arrah, Municipal Corporation</t>
  </si>
  <si>
    <t>Behea, Town Panchayat</t>
  </si>
  <si>
    <t>Garhani, Town Panchayat</t>
  </si>
  <si>
    <t>Jagdishpur, Town Panchayat</t>
  </si>
  <si>
    <t>Koilwar, Town Panchayat</t>
  </si>
  <si>
    <t>Piro, Municipality</t>
  </si>
  <si>
    <t>Shahpur, Town Panchayat</t>
  </si>
  <si>
    <t>Brahmpur, Town Panchayat</t>
  </si>
  <si>
    <t>BUXAR, MUNICIPALITY</t>
  </si>
  <si>
    <t>Chausa, Town Panchayat</t>
  </si>
  <si>
    <t>Dumraon, Municipality</t>
  </si>
  <si>
    <t>Itarhi, Town Panchayat</t>
  </si>
  <si>
    <t>Baheri, Town Panchayat</t>
  </si>
  <si>
    <t>Benipur, Municipality</t>
  </si>
  <si>
    <t>Bharwara, Town Panchayat</t>
  </si>
  <si>
    <t>Biraul, Town Panchayat</t>
  </si>
  <si>
    <t>Darbhanga, Municipal Corporation</t>
  </si>
  <si>
    <t>GHANSHYAMPUR, TOWN PANCHAYAT</t>
  </si>
  <si>
    <t>HAYAGHAT, Town Panchayat</t>
  </si>
  <si>
    <t>Jale, Town Panchayat</t>
  </si>
  <si>
    <t>KAMTAUL Ahiyari, Town Panchayat</t>
  </si>
  <si>
    <t>KUSHESWAR ASTHAN EAST, Town Panchayat</t>
  </si>
  <si>
    <t>SINGHWARA, Town Panchayat</t>
  </si>
  <si>
    <t>Bodh Gaya, Municipality</t>
  </si>
  <si>
    <t>Dobhi, Town Panchayat</t>
  </si>
  <si>
    <t>Fatehpur, Town Panchayat</t>
  </si>
  <si>
    <t>Gaya, Municipal Corporation</t>
  </si>
  <si>
    <t>Imamganj, Town Panchayat</t>
  </si>
  <si>
    <t>Khizarsarai, Town Panchayat</t>
  </si>
  <si>
    <t>Sherghati, Municipality</t>
  </si>
  <si>
    <t>Tikari, Municipality</t>
  </si>
  <si>
    <t>Wazirganj, Town Panchayat</t>
  </si>
  <si>
    <t>BARAULI, MUNICIPALITY</t>
  </si>
  <si>
    <t>Gopalganj, Municipality</t>
  </si>
  <si>
    <t>Hathua, Town Panchayat</t>
  </si>
  <si>
    <t>Kataiya, Town Panchayat</t>
  </si>
  <si>
    <t>MIRGANJ, MUNICIPALITY</t>
  </si>
  <si>
    <t>Jamui, Municipality</t>
  </si>
  <si>
    <t>Jhajha, Municipality</t>
  </si>
  <si>
    <t>Sikandra, Town Panchayat</t>
  </si>
  <si>
    <t>Ghoshi, Town Panchayat</t>
  </si>
  <si>
    <t>Jehanabad, Municipality</t>
  </si>
  <si>
    <t>KAKO, Town Panchayat</t>
  </si>
  <si>
    <t>Makhdumpur, Town Panchayat</t>
  </si>
  <si>
    <t>Bhabua, Municipality</t>
  </si>
  <si>
    <t>HATA, TOWN PANCHAYAT</t>
  </si>
  <si>
    <t>Kudra, Town Panchayat</t>
  </si>
  <si>
    <t>Mohania, Town Panchayat</t>
  </si>
  <si>
    <t>Ramgarh, Town Panchayat</t>
  </si>
  <si>
    <t>AMDABAD, Town Panchayat</t>
  </si>
  <si>
    <t>BALRAMPUR, TOWN PANCHAYAT</t>
  </si>
  <si>
    <t>BARARI, Town Panchayat</t>
  </si>
  <si>
    <t>Barsoi, Town Panchayat</t>
  </si>
  <si>
    <t>Katihar, Municipal Corporation</t>
  </si>
  <si>
    <t>KORHA, TOWN PANCHAYAT</t>
  </si>
  <si>
    <t>Kursela, Town Panchayat</t>
  </si>
  <si>
    <t>Manihari, Town Panchayat</t>
  </si>
  <si>
    <t>Alauli, Town Panchayat</t>
  </si>
  <si>
    <t>Beldaur, Town Panchayat</t>
  </si>
  <si>
    <t>Gogri Jamalpur, Municipality</t>
  </si>
  <si>
    <t>Khagaria, Municipality</t>
  </si>
  <si>
    <t>Mansi, Town Panchayat</t>
  </si>
  <si>
    <t>Parbatta, Town Panchayat</t>
  </si>
  <si>
    <t>Bahadurganj, Town Panchayat</t>
  </si>
  <si>
    <t>Kishanganj, Municipality</t>
  </si>
  <si>
    <t>Pauakhali, Town Panchayat</t>
  </si>
  <si>
    <t>Thakurganj, Town Panchayat</t>
  </si>
  <si>
    <t>BARAHIYA, MUNICIPALITY</t>
  </si>
  <si>
    <t>Lakhisarai, Municipality</t>
  </si>
  <si>
    <t>Suryagadha, Municipality</t>
  </si>
  <si>
    <t>Alamnagar, Town Panchayat</t>
  </si>
  <si>
    <t>Bihariganj, Town Panchayat</t>
  </si>
  <si>
    <t>Madhepura, Municipality</t>
  </si>
  <si>
    <t>Murliganj, Town Panchayat</t>
  </si>
  <si>
    <t>SINGHESHWAR, TOWN PANCHAYAT</t>
  </si>
  <si>
    <t>Udakishunganj, Municipality</t>
  </si>
  <si>
    <t>Benipatti, Town Panchayat</t>
  </si>
  <si>
    <t>Ghoghardiha, Town Panchayat</t>
  </si>
  <si>
    <t>Jainagar, Town Panchayat</t>
  </si>
  <si>
    <t>Jhanjharpur, Municipality</t>
  </si>
  <si>
    <t>Madhubani, Municipal Corporation</t>
  </si>
  <si>
    <t>Phulparas, Town Panchayat</t>
  </si>
  <si>
    <t>Asarganj, Town Panchayat</t>
  </si>
  <si>
    <t>Haweli Kharagpur, Municipality</t>
  </si>
  <si>
    <t>JAMALPUR, MUNICIPALITY</t>
  </si>
  <si>
    <t>MUNGER, MUNICIPAL CORPORATION</t>
  </si>
  <si>
    <t>Sangrampur, Town Panchayat</t>
  </si>
  <si>
    <t>Tarapur, Town Panchayat</t>
  </si>
  <si>
    <t>BARURAAJ, TOWN PANCHAYAT</t>
  </si>
  <si>
    <t>Kanti, Municipality</t>
  </si>
  <si>
    <t>Kurhani, Town Panchayat</t>
  </si>
  <si>
    <t>Madhopur Susta, Town Panchayat</t>
  </si>
  <si>
    <t>MINAPUR, TOWN PANCHAYAT</t>
  </si>
  <si>
    <t>Motipur, Municipality</t>
  </si>
  <si>
    <t>MURAUL, TOWN PANCHAYAT</t>
  </si>
  <si>
    <t>Muzaffarpur, Municipal Corporation</t>
  </si>
  <si>
    <t>Sahebganj, Municipality</t>
  </si>
  <si>
    <t>Sakra, Town Panchayat</t>
  </si>
  <si>
    <t>Saraiya, Town Panchayat</t>
  </si>
  <si>
    <t>Asthawan, Town Panchayat</t>
  </si>
  <si>
    <t>Biharsharif, Municipal Corporation</t>
  </si>
  <si>
    <t>Chandi, Town Panchayat</t>
  </si>
  <si>
    <t>Ekangarsarai, Town Panchayat</t>
  </si>
  <si>
    <t>Giriak, Town Panchayat</t>
  </si>
  <si>
    <t>Harnaut, Town Panchayat</t>
  </si>
  <si>
    <t>Hilsa, Municipality</t>
  </si>
  <si>
    <t>Islampur, Municipality</t>
  </si>
  <si>
    <t>Nalanda, Town Panchayat</t>
  </si>
  <si>
    <t>Parbalpur, Town Panchayat</t>
  </si>
  <si>
    <t>Pawapuri, Town Panchayat</t>
  </si>
  <si>
    <t>Rahui, Town Panchayat</t>
  </si>
  <si>
    <t>Rajgir, Town Panchayat</t>
  </si>
  <si>
    <t>SARMERA, TOWN PANCHAYAT</t>
  </si>
  <si>
    <t>Silao, Town Panchayat</t>
  </si>
  <si>
    <t>Hisua, Town Panchayat</t>
  </si>
  <si>
    <t>Nawada, Municipality</t>
  </si>
  <si>
    <t>Rajauli, Town Panchayat</t>
  </si>
  <si>
    <t>Warisaliganj, Town Panchayat</t>
  </si>
  <si>
    <t>Bagaha, Municipality</t>
  </si>
  <si>
    <t>Bettiah, Municipal Corporation</t>
  </si>
  <si>
    <t>Chanpatia, Town Panchayat</t>
  </si>
  <si>
    <t>Lauria, Town Panchayat</t>
  </si>
  <si>
    <t>Narkatiaganj, Municipality</t>
  </si>
  <si>
    <t>Ramnagar, Town Panchayat</t>
  </si>
  <si>
    <t>Yogapatti, Town Panchayat</t>
  </si>
  <si>
    <t>Bakhtiyarpur, Municipality</t>
  </si>
  <si>
    <t>Barh, Municipality</t>
  </si>
  <si>
    <t>Bihta, Municipality</t>
  </si>
  <si>
    <t>Bikram, Town Panchayat</t>
  </si>
  <si>
    <t>Dinapur Nizamat, Municipality</t>
  </si>
  <si>
    <t>Fatwah, Municipality</t>
  </si>
  <si>
    <t>Khagaul, Municipality</t>
  </si>
  <si>
    <t>Khusrupur, Town Panchayat</t>
  </si>
  <si>
    <t>Maner, Town Panchayat</t>
  </si>
  <si>
    <t>Masaurhi, Municipality</t>
  </si>
  <si>
    <t>Mokameh, Municipality</t>
  </si>
  <si>
    <t>Naubatpur, Town Panchayat</t>
  </si>
  <si>
    <t>Paliganj, Town Panchayat</t>
  </si>
  <si>
    <t>Patna Municipal Corporation</t>
  </si>
  <si>
    <t>Phulwari Sharif, Municipality</t>
  </si>
  <si>
    <t>Punpun, Town Panchayat</t>
  </si>
  <si>
    <t>SAMPATCHAK, MUNICIPALITY</t>
  </si>
  <si>
    <t>Areraj, Town Panchayat</t>
  </si>
  <si>
    <t>Chakia, Municipality</t>
  </si>
  <si>
    <t>Dhaka, Municipality</t>
  </si>
  <si>
    <t>Kesaria, Town Panchayat</t>
  </si>
  <si>
    <t>Motihari, Municipal Corporation</t>
  </si>
  <si>
    <t>Raxaul Bazar, Municipality</t>
  </si>
  <si>
    <t>Sugauli, Town Panchayat</t>
  </si>
  <si>
    <t>Amour, Town Panchayat</t>
  </si>
  <si>
    <t>Baisi, Town Panchayat</t>
  </si>
  <si>
    <t>Banmankhi Bazar, Municipality</t>
  </si>
  <si>
    <t>Bhawanipur, Town Panchayat</t>
  </si>
  <si>
    <t>CHAMPANAGAR, TOWN PANCHAYAT</t>
  </si>
  <si>
    <t>Dhamdaha, Town Panchayat</t>
  </si>
  <si>
    <t>Jankinagar, Town Panchayat</t>
  </si>
  <si>
    <t>KASBA, TOWN PANCHAYAT</t>
  </si>
  <si>
    <t>MIRGANJ, TOWN PANCHAYAT</t>
  </si>
  <si>
    <t>Purnia, Municipal Corporation</t>
  </si>
  <si>
    <t>Rupauli, Town Panchayat</t>
  </si>
  <si>
    <t>Bikramganj, Municipality</t>
  </si>
  <si>
    <t>Chenari, Town Panchayat</t>
  </si>
  <si>
    <t>Dehri Dalmianagar, Municipality</t>
  </si>
  <si>
    <t>DINARA, TOWN PANCHAYAT</t>
  </si>
  <si>
    <t>KARAKAT, TOWN PANCHAYAT</t>
  </si>
  <si>
    <t>Koath, Town Panchayat</t>
  </si>
  <si>
    <t>Kochas, Town Panchayat</t>
  </si>
  <si>
    <t>Nasriganj, Town Panchayat</t>
  </si>
  <si>
    <t>Nokha, Municipality</t>
  </si>
  <si>
    <t>ROHTAS, Town Panchayat</t>
  </si>
  <si>
    <t>Sasaram, Municipal Corporation</t>
  </si>
  <si>
    <t>Bangaon, Town Panchayat</t>
  </si>
  <si>
    <t>Nauhatta, Town Panchayat</t>
  </si>
  <si>
    <t>Saharsa, Municipal Corporation</t>
  </si>
  <si>
    <t>Simri Bakhtiyarpur, Town Panchayat</t>
  </si>
  <si>
    <t>Sonbarsa, Town Panchayat</t>
  </si>
  <si>
    <t>SOUR BAZAR, TOWN PANCHAYAT</t>
  </si>
  <si>
    <t>Dalsinghsarai, Municipality</t>
  </si>
  <si>
    <t>MUSRI GHARARI, TOWN PANCHAYAT</t>
  </si>
  <si>
    <t>ROSERA, MUNICIPALITY</t>
  </si>
  <si>
    <t>Samastipur, Municipal Corporation</t>
  </si>
  <si>
    <t>Sarairanjan, Town Panchayat</t>
  </si>
  <si>
    <t>SHAHPUR PATORI, MUNICIPALITY</t>
  </si>
  <si>
    <t>Singhia, Town Panchayat</t>
  </si>
  <si>
    <t>Tajpur, Municipality</t>
  </si>
  <si>
    <t>Chapra, Municipal Corporation</t>
  </si>
  <si>
    <t>Dighwara, Town Panchayat</t>
  </si>
  <si>
    <t>Ekma Bazar, Town Panchayat</t>
  </si>
  <si>
    <t>KOPA, TOWN PANCHAYAT</t>
  </si>
  <si>
    <t>Manjhi, Town Panchayat</t>
  </si>
  <si>
    <t>Marhaura, Town Panchayat</t>
  </si>
  <si>
    <t>Mashrakh, Town Panchayat</t>
  </si>
  <si>
    <t>Parsa Bazar, Town Panchayat</t>
  </si>
  <si>
    <t>Revelganj, Town Panchayat</t>
  </si>
  <si>
    <t>Sonepur, Town Panchayat</t>
  </si>
  <si>
    <t>Barbigha, Municipality</t>
  </si>
  <si>
    <t>Chewara, Town Panchayat</t>
  </si>
  <si>
    <t>Sheikhopur Sarai, Town Panchayat</t>
  </si>
  <si>
    <t>Sheikhpura, Municipality</t>
  </si>
  <si>
    <t>Sheohar, Town Panchayat</t>
  </si>
  <si>
    <t>Bairgania, Municipality</t>
  </si>
  <si>
    <t>Belsand, Town Panchayat</t>
  </si>
  <si>
    <t>JANAKPUR ROAD, MUNICIPALITY</t>
  </si>
  <si>
    <t>Sitamarhi, Municipal Corporation</t>
  </si>
  <si>
    <t>Sursand, Town Panchayat</t>
  </si>
  <si>
    <t>Andar, Town Panchayat</t>
  </si>
  <si>
    <t>Barharia, Town Panchayat</t>
  </si>
  <si>
    <t>Basantpur, Town Panchayat</t>
  </si>
  <si>
    <t>Gopalpur, Town Panchayat</t>
  </si>
  <si>
    <t>Guthani, Town Panchayat</t>
  </si>
  <si>
    <t>Hasanpura, Town Panchayat</t>
  </si>
  <si>
    <t>Maharajganj, Town Panchayat</t>
  </si>
  <si>
    <t>Mairwa, Town Panchayat</t>
  </si>
  <si>
    <t>Siwan, Municipality</t>
  </si>
  <si>
    <t>Birpur, Town Panchayat</t>
  </si>
  <si>
    <t>Nirmali, Town Panchayat</t>
  </si>
  <si>
    <t>Pipra, Town Panchayat</t>
  </si>
  <si>
    <t>Simrahi, Town Panchayat</t>
  </si>
  <si>
    <t>Supaul, Municipality</t>
  </si>
  <si>
    <t>TRIBENIGANJ, MUNICIPALITY</t>
  </si>
  <si>
    <t>Goraul, Town Panchayat</t>
  </si>
  <si>
    <t>Hajipur, Municipality</t>
  </si>
  <si>
    <t>Jandaha, Town Panchayat</t>
  </si>
  <si>
    <t>Lalganj, Municipality</t>
  </si>
  <si>
    <t>Mahnar Bazar, Municipality</t>
  </si>
  <si>
    <t>Mahua, Municipality</t>
  </si>
  <si>
    <t>Patepur, Town Panchayat</t>
  </si>
  <si>
    <t>ULB Name</t>
  </si>
  <si>
    <t>Houses Sanctioned</t>
  </si>
  <si>
    <t>Houses at Foundation</t>
  </si>
  <si>
    <t>Houses at Lintel</t>
  </si>
  <si>
    <t>Houses at Roof</t>
  </si>
  <si>
    <t>Houses Completed</t>
  </si>
  <si>
    <t>Houses Grounded</t>
  </si>
  <si>
    <t>Mirganj, Municipality</t>
  </si>
  <si>
    <t>Musri Gharari, Town Panchayat</t>
  </si>
  <si>
    <t>Ghanshyampur, Town Panchayat</t>
  </si>
  <si>
    <t>Rosera, Municipality</t>
  </si>
  <si>
    <t>Begusarai, Municipal Corporation</t>
  </si>
  <si>
    <t>Tribeniganj, Municipality</t>
  </si>
  <si>
    <t>Kasba, Town Panchayat</t>
  </si>
  <si>
    <t>Kusheswar Asthan East, Town Panchayat</t>
  </si>
  <si>
    <t>Singhwara, Town Panchayat</t>
  </si>
  <si>
    <t>Shahpur Patori, Municipality</t>
  </si>
  <si>
    <t>Daudnagar, Municipality</t>
  </si>
  <si>
    <t>Rohtas, Town Panchayat</t>
  </si>
  <si>
    <t>Minapur, Town Panchayat</t>
  </si>
  <si>
    <t>Kamtaul Ahiyari, Town Panchayat</t>
  </si>
  <si>
    <t>Hayaghat, Town Panchayat</t>
  </si>
  <si>
    <t>Mirganj, Town Panchayat</t>
  </si>
  <si>
    <t>Jogabani, Municipality</t>
  </si>
  <si>
    <t>Karakat, Town Panchayat</t>
  </si>
  <si>
    <t>Champanagar, Town Panchayat</t>
  </si>
  <si>
    <t>Akbarnagar, Town Panchayat</t>
  </si>
  <si>
    <t>Barari, Town Panchayat</t>
  </si>
  <si>
    <t>Baruraaj, Town Panchayat</t>
  </si>
  <si>
    <t>Narpatganj, Town Panchayat</t>
  </si>
  <si>
    <t>Singheshwar, Town Panchayat</t>
  </si>
  <si>
    <t>Janakpur Road, Municipality</t>
  </si>
  <si>
    <t>Kako, Town Panchayat</t>
  </si>
  <si>
    <t>Buxar, Municipality</t>
  </si>
  <si>
    <t>Korha, Town Panchayat</t>
  </si>
  <si>
    <t>Hata, Town Panchayat</t>
  </si>
  <si>
    <t>Sarmera, Town Panchayat</t>
  </si>
  <si>
    <t>Barahiya, Municipality</t>
  </si>
  <si>
    <t>Dinara, Town Panchayat</t>
  </si>
  <si>
    <t>Barauli, Municipality</t>
  </si>
  <si>
    <t>Muraul, Town Panchayat</t>
  </si>
  <si>
    <t>Amdabad, Town Panchayat</t>
  </si>
  <si>
    <t>Munger, Municipal Corporation</t>
  </si>
  <si>
    <t>Kopa, Town Panchayat</t>
  </si>
  <si>
    <t>Banka, Municipality</t>
  </si>
  <si>
    <t>Sampatchak, Municipality</t>
  </si>
  <si>
    <t>Balrampur, Town Panchayat</t>
  </si>
  <si>
    <t>Jamalpur, Municipality</t>
  </si>
  <si>
    <t>Sour Bazar, Town Panchayat</t>
  </si>
  <si>
    <t>Houses to be Grounded</t>
  </si>
  <si>
    <t>Physical status of Houses under PMAY(U)-2.0</t>
  </si>
  <si>
    <t>Houses to be Lintel</t>
  </si>
  <si>
    <t>ALAMNAGAR, TOWN PANCHAYAT</t>
  </si>
  <si>
    <t>ALAULI, TOWN PANCHAYAT</t>
  </si>
  <si>
    <t>AMARPUR, TOWN PANCHAYAT</t>
  </si>
  <si>
    <t>AMDABAD, TOWN PANCHAYAT</t>
  </si>
  <si>
    <t>AMOUR, TOWN PANCHAYAT</t>
  </si>
  <si>
    <t>ANDAR, TOWN PANCHAYAT</t>
  </si>
  <si>
    <t>ARARIA, MUNICIPALITY</t>
  </si>
  <si>
    <t>ARERAJ, TOWN PANCHAYAT</t>
  </si>
  <si>
    <t>ARRAH, MUNICIPAL CORPORATION</t>
  </si>
  <si>
    <t>ARWAL, MUNICIPALITY</t>
  </si>
  <si>
    <t>ASARGANJ, TOWN PANCHAYAT</t>
  </si>
  <si>
    <t>ASTHAWAN, TOWN PANCHAYAT</t>
  </si>
  <si>
    <t>AURANGABAD, MUNICIPALITY</t>
  </si>
  <si>
    <t>BAGAHA, MUNICIPALITY</t>
  </si>
  <si>
    <t>BAHADURGANJ, TOWN PANCHAYAT</t>
  </si>
  <si>
    <t>BAHERI, TOWN PANCHAYAT</t>
  </si>
  <si>
    <t>BAIRGANIA, MUNICIPALITY</t>
  </si>
  <si>
    <t>BAISI, TOWN PANCHAYAT</t>
  </si>
  <si>
    <t>BAKHRI, MUNICIPALITY</t>
  </si>
  <si>
    <t>BAKHTIYARPUR, MUNICIPALITY</t>
  </si>
  <si>
    <t>BALIA, MUNICIPALITY</t>
  </si>
  <si>
    <t>BANGAON, TOWN PANCHAYAT</t>
  </si>
  <si>
    <t>BANMANKHI BAZAR, MUNICIPALITY</t>
  </si>
  <si>
    <t>BARARI, TOWN PANCHAYAT</t>
  </si>
  <si>
    <t>BARAUNI, MUNICIPALITY</t>
  </si>
  <si>
    <t>BARBIGHA, MUNICIPALITY</t>
  </si>
  <si>
    <t>BARH, MUNICIPALITY</t>
  </si>
  <si>
    <t>BARHARIA, TOWN PANCHAYAT</t>
  </si>
  <si>
    <t>BARSOI, TOWN PANCHAYAT</t>
  </si>
  <si>
    <t>BARUN, TOWN PANCHAYAT</t>
  </si>
  <si>
    <t>BASANTPUR, TOWN PANCHAYAT</t>
  </si>
  <si>
    <t>BEHEA, TOWN PANCHAYAT</t>
  </si>
  <si>
    <t>BELDAUR, TOWN PANCHAYAT</t>
  </si>
  <si>
    <t>BELSAND, TOWN PANCHAYAT</t>
  </si>
  <si>
    <t>BENIPATTI, TOWN PANCHAYAT</t>
  </si>
  <si>
    <t>BENIPUR, MUNICIPALITY</t>
  </si>
  <si>
    <t>BETTIAH, MUNICIPAL CORPORATION</t>
  </si>
  <si>
    <t>BHABUA, MUNICIPALITY</t>
  </si>
  <si>
    <t>BHAGALPUR, MUNICIPAL CORPORATION</t>
  </si>
  <si>
    <t>BHARWARA, TOWN PANCHAYAT</t>
  </si>
  <si>
    <t>BHAWANIPUR, TOWN PANCHAYAT</t>
  </si>
  <si>
    <t>BIHARIGANJ, TOWN PANCHAYAT</t>
  </si>
  <si>
    <t>BIHARSHARIF, MUNICIPAL CORPORATION</t>
  </si>
  <si>
    <t>BIHAT, MUNICIPALITY</t>
  </si>
  <si>
    <t>BIHTA, MUNICIPALITY</t>
  </si>
  <si>
    <t>BIKRAM, TOWN PANCHAYAT</t>
  </si>
  <si>
    <t>BIKRAMGANJ, MUNICIPALITY</t>
  </si>
  <si>
    <t>BIRAUL, TOWN PANCHAYAT</t>
  </si>
  <si>
    <t>BIRPUR, TOWN PANCHAYAT</t>
  </si>
  <si>
    <t>BODH GAYA, MUNICIPALITY</t>
  </si>
  <si>
    <t>BOUNSI, TOWN PANCHAYAT</t>
  </si>
  <si>
    <t>BRAHMPUR, TOWN PANCHAYAT</t>
  </si>
  <si>
    <t>CHAKIA, MUNICIPALITY</t>
  </si>
  <si>
    <t>CHANDI, TOWN PANCHAYAT</t>
  </si>
  <si>
    <t>CHANPATIA, TOWN PANCHAYAT</t>
  </si>
  <si>
    <t>CHAPRA, MUNICIPAL CORPORATION</t>
  </si>
  <si>
    <t>CHAUSA, TOWN PANCHAYAT</t>
  </si>
  <si>
    <t>CHENARI, TOWN PANCHAYAT</t>
  </si>
  <si>
    <t>CHEWARA, TOWN PANCHAYAT</t>
  </si>
  <si>
    <t>DALSINGHSARAI, MUNICIPALITY</t>
  </si>
  <si>
    <t>DARBHANGA, MUNICIPAL CORPORATION</t>
  </si>
  <si>
    <t>DEHRI DALMIANAGAR, MUNICIPALITY</t>
  </si>
  <si>
    <t>DEO, TOWN PANCHAYAT</t>
  </si>
  <si>
    <t>DHAKA, MUNICIPALITY</t>
  </si>
  <si>
    <t>DHAMDAHA, TOWN PANCHAYAT</t>
  </si>
  <si>
    <t>DIGHWARA, TOWN PANCHAYAT</t>
  </si>
  <si>
    <t>DINAPUR NIZAMAT, MUNICIPALITY</t>
  </si>
  <si>
    <t>DOBHI, TOWN PANCHAYAT</t>
  </si>
  <si>
    <t>DUMRAON, MUNICIPALITY</t>
  </si>
  <si>
    <t>EKANGARSARAI, TOWN PANCHAYAT</t>
  </si>
  <si>
    <t>EKMA BAZAR, TOWN PANCHAYAT</t>
  </si>
  <si>
    <t>FATEHPUR, TOWN PANCHAYAT</t>
  </si>
  <si>
    <t>FATWAH, MUNICIPALITY</t>
  </si>
  <si>
    <t>FORBESGANJ, MUNICIPALITY</t>
  </si>
  <si>
    <t>GARHANI, TOWN PANCHAYAT</t>
  </si>
  <si>
    <t>GAYA, MUNICIPAL CORPORATION</t>
  </si>
  <si>
    <t>GHOGHARDIHA, TOWN PANCHAYAT</t>
  </si>
  <si>
    <t>GHOSHI, TOWN PANCHAYAT</t>
  </si>
  <si>
    <t>GIRIAK, TOWN PANCHAYAT</t>
  </si>
  <si>
    <t>GOGRI JAMALPUR, MUNICIPALITY</t>
  </si>
  <si>
    <t>GOPALGANJ, MUNICIPALITY</t>
  </si>
  <si>
    <t>GOPALPUR, TOWN PANCHAYAT</t>
  </si>
  <si>
    <t>GORAUL, TOWN PANCHAYAT</t>
  </si>
  <si>
    <t>GUTHANI, TOWN PANCHAYAT</t>
  </si>
  <si>
    <t>HABIBPUR, TOWN PANCHAYAT</t>
  </si>
  <si>
    <t>HAJIPUR, MUNICIPALITY</t>
  </si>
  <si>
    <t>HARNAUT, TOWN PANCHAYAT</t>
  </si>
  <si>
    <t>HASANPURA, TOWN PANCHAYAT</t>
  </si>
  <si>
    <t>HATHUA, TOWN PANCHAYAT</t>
  </si>
  <si>
    <t>HAWELI KHARAGPUR, MUNICIPALITY</t>
  </si>
  <si>
    <t>HAYAGHAT, TOWN PANCHAYAT</t>
  </si>
  <si>
    <t>HILSA, MUNICIPALITY</t>
  </si>
  <si>
    <t>HISUA, TOWN PANCHAYAT</t>
  </si>
  <si>
    <t>IMAMGANJ, TOWN PANCHAYAT</t>
  </si>
  <si>
    <t>ISLAMPUR, MUNICIPALITY</t>
  </si>
  <si>
    <t>ITARHI, TOWN PANCHAYAT</t>
  </si>
  <si>
    <t>JAGDISHPUR, TOWN PANCHAYAT</t>
  </si>
  <si>
    <t>JAINAGAR, TOWN PANCHAYAT</t>
  </si>
  <si>
    <t>JALE, TOWN PANCHAYAT</t>
  </si>
  <si>
    <t>JAMUI, MUNICIPALITY</t>
  </si>
  <si>
    <t>JANDAHA, TOWN PANCHAYAT</t>
  </si>
  <si>
    <t>JANKINAGAR, TOWN PANCHAYAT</t>
  </si>
  <si>
    <t>JEHANABAD, MUNICIPALITY</t>
  </si>
  <si>
    <t>JHAJHA, MUNICIPALITY</t>
  </si>
  <si>
    <t>JHANJHARPUR, MUNICIPALITY</t>
  </si>
  <si>
    <t>JOKIHAT, TOWN PANCHAYAT</t>
  </si>
  <si>
    <t>KAHALGAON, TOWN PANCHAYAT</t>
  </si>
  <si>
    <t>KAKO, TOWN PANCHAYAT</t>
  </si>
  <si>
    <t>KAMTAUL AHIYARI, TOWN PANCHAYAT</t>
  </si>
  <si>
    <t>KANTI, MUNICIPALITY</t>
  </si>
  <si>
    <t>KATAIYA, TOWN PANCHAYAT</t>
  </si>
  <si>
    <t>KATIHAR, MUNICIPAL CORPORATION</t>
  </si>
  <si>
    <t>KATORIA, TOWN PANCHAYAT</t>
  </si>
  <si>
    <t>KESARIA, TOWN PANCHAYAT</t>
  </si>
  <si>
    <t>KHAGARIA, MUNICIPALITY</t>
  </si>
  <si>
    <t>KHAGAUL, MUNICIPALITY</t>
  </si>
  <si>
    <t>KHIZARSARAI, TOWN PANCHAYAT</t>
  </si>
  <si>
    <t>KHUSRUPUR, TOWN PANCHAYAT</t>
  </si>
  <si>
    <t>KISHANGANJ, MUNICIPALITY</t>
  </si>
  <si>
    <t>KOATH, TOWN PANCHAYAT</t>
  </si>
  <si>
    <t>KOCHAS, TOWN PANCHAYAT</t>
  </si>
  <si>
    <t>KOILWAR, TOWN PANCHAYAT</t>
  </si>
  <si>
    <t>KUDRA, TOWN PANCHAYAT</t>
  </si>
  <si>
    <t>KURHANI, TOWN PANCHAYAT</t>
  </si>
  <si>
    <t>KURSELA, TOWN PANCHAYAT</t>
  </si>
  <si>
    <t>KURTHA, TOWN PANCHAYAT</t>
  </si>
  <si>
    <t>KUSHESWAR ASTHAN EAST, TOWN PANCHAYAT</t>
  </si>
  <si>
    <t>LAKHISARAI, MUNICIPALITY</t>
  </si>
  <si>
    <t>LALGANJ, MUNICIPALITY</t>
  </si>
  <si>
    <t>LAURIA, TOWN PANCHAYAT</t>
  </si>
  <si>
    <t>MADHEPURA, MUNICIPALITY</t>
  </si>
  <si>
    <t>MADHOPUR SUSTA, TOWN PANCHAYAT</t>
  </si>
  <si>
    <t>MADHUBANI, MUNICIPAL CORPORATION</t>
  </si>
  <si>
    <t>MAHARAJGANJ, TOWN PANCHAYAT</t>
  </si>
  <si>
    <t>MAHNAR BAZAR, MUNICIPALITY</t>
  </si>
  <si>
    <t>MAHUA, MUNICIPALITY</t>
  </si>
  <si>
    <t>MAIRWA, TOWN PANCHAYAT</t>
  </si>
  <si>
    <t>MAKHDUMPUR, TOWN PANCHAYAT</t>
  </si>
  <si>
    <t>MANER, TOWN PANCHAYAT</t>
  </si>
  <si>
    <t>MANIHARI, TOWN PANCHAYAT</t>
  </si>
  <si>
    <t>MANJHI, TOWN PANCHAYAT</t>
  </si>
  <si>
    <t>MANSI, TOWN PANCHAYAT</t>
  </si>
  <si>
    <t>MARHAURA, TOWN PANCHAYAT</t>
  </si>
  <si>
    <t>MASAURHI, MUNICIPALITY</t>
  </si>
  <si>
    <t>MASHRAKH, TOWN PANCHAYAT</t>
  </si>
  <si>
    <t>MOHANIA, TOWN PANCHAYAT</t>
  </si>
  <si>
    <t>MOKAMEH, MUNICIPALITY</t>
  </si>
  <si>
    <t>MOTIHARI, MUNICIPAL CORPORATION</t>
  </si>
  <si>
    <t>MOTIPUR, MUNICIPALITY</t>
  </si>
  <si>
    <t>MURLIGANJ, TOWN PANCHAYAT</t>
  </si>
  <si>
    <t>MUZAFFARPUR, MUNICIPAL CORPORATION</t>
  </si>
  <si>
    <t>NABINAGAR, TOWN PANCHAYAT</t>
  </si>
  <si>
    <t>NALANDA, TOWN PANCHAYAT</t>
  </si>
  <si>
    <t>NARKATIAGANJ, MUNICIPALITY</t>
  </si>
  <si>
    <t>NASRIGANJ, TOWN PANCHAYAT</t>
  </si>
  <si>
    <t>NAUBATPUR, TOWN PANCHAYAT</t>
  </si>
  <si>
    <t>NAUGACHHIA, MUNICIPALITY</t>
  </si>
  <si>
    <t>NAUHATTA, TOWN PANCHAYAT</t>
  </si>
  <si>
    <t>NAWADA, MUNICIPALITY</t>
  </si>
  <si>
    <t>NIRMALI, TOWN PANCHAYAT</t>
  </si>
  <si>
    <t>NOKHA, MUNICIPALITY</t>
  </si>
  <si>
    <t>PALIGANJ, TOWN PANCHAYAT</t>
  </si>
  <si>
    <t>PARBALPUR, TOWN PANCHAYAT</t>
  </si>
  <si>
    <t>PARBATTA, TOWN PANCHAYAT</t>
  </si>
  <si>
    <t>PARSA BAZAR, TOWN PANCHAYAT</t>
  </si>
  <si>
    <t>PATEPUR, TOWN PANCHAYAT</t>
  </si>
  <si>
    <t>PATNA MUNICIPAL CORPORATION</t>
  </si>
  <si>
    <t>PAUAKHALI, TOWN PANCHAYAT</t>
  </si>
  <si>
    <t>PAWAPURI, TOWN PANCHAYAT</t>
  </si>
  <si>
    <t>PHULPARAS, TOWN PANCHAYAT</t>
  </si>
  <si>
    <t>PHULWARI SHARIF, MUNICIPALITY</t>
  </si>
  <si>
    <t>PIPRA, TOWN PANCHAYAT</t>
  </si>
  <si>
    <t>PIRO, MUNICIPALITY</t>
  </si>
  <si>
    <t>PIRPAINTI, TOWN PANCHAYAT</t>
  </si>
  <si>
    <t>PUNPUN, TOWN PANCHAYAT</t>
  </si>
  <si>
    <t>PURNIA, MUNICIPAL CORPORATION</t>
  </si>
  <si>
    <t>RAFIGANJ, TOWN PANCHAYAT</t>
  </si>
  <si>
    <t>RAHUI, TOWN PANCHAYAT</t>
  </si>
  <si>
    <t>RAJAULI, TOWN PANCHAYAT</t>
  </si>
  <si>
    <t>RAJGIR, TOWN PANCHAYAT</t>
  </si>
  <si>
    <t>RAMGARH, TOWN PANCHAYAT</t>
  </si>
  <si>
    <t>RAMNAGAR, TOWN PANCHAYAT</t>
  </si>
  <si>
    <t>RANIGANJ, TOWN PANCHAYAT</t>
  </si>
  <si>
    <t>RAXAUL BAZAR, MUNICIPALITY</t>
  </si>
  <si>
    <t>REVELGANJ, TOWN PANCHAYAT</t>
  </si>
  <si>
    <t>ROHTAS, TOWN PANCHAYAT</t>
  </si>
  <si>
    <t>RUPAULI, TOWN PANCHAYAT</t>
  </si>
  <si>
    <t>SABOUR, TOWN PANCHAYAT</t>
  </si>
  <si>
    <t>SAHARSA, MUNICIPAL CORPORATION</t>
  </si>
  <si>
    <t>SAHEBGANJ, MUNICIPALITY</t>
  </si>
  <si>
    <t>SAKRA, TOWN PANCHAYAT</t>
  </si>
  <si>
    <t>SAMASTIPUR, MUNICIPAL CORPORATION</t>
  </si>
  <si>
    <t>SANGRAMPUR, TOWN PANCHAYAT</t>
  </si>
  <si>
    <t>SARAIRANJAN, TOWN PANCHAYAT</t>
  </si>
  <si>
    <t>SARAIYA, TOWN PANCHAYAT</t>
  </si>
  <si>
    <t>SASARAM, MUNICIPAL CORPORATION</t>
  </si>
  <si>
    <t>SHAHPUR, TOWN PANCHAYAT</t>
  </si>
  <si>
    <t>SHEIKHOPUR SARAI, TOWN PANCHAYAT</t>
  </si>
  <si>
    <t>SHEIKHPURA, MUNICIPALITY</t>
  </si>
  <si>
    <t>SHEOHAR, TOWN PANCHAYAT</t>
  </si>
  <si>
    <t>SHERGHATI, MUNICIPALITY</t>
  </si>
  <si>
    <t>SIKANDRA, TOWN PANCHAYAT</t>
  </si>
  <si>
    <t>SILAO, TOWN PANCHAYAT</t>
  </si>
  <si>
    <t>SIMRAHI, TOWN PANCHAYAT</t>
  </si>
  <si>
    <t>SIMRI BAKHTIYARPUR, TOWN PANCHAYAT</t>
  </si>
  <si>
    <t>SINGHIA, TOWN PANCHAYAT</t>
  </si>
  <si>
    <t>SINGHWARA, TOWN PANCHAYAT</t>
  </si>
  <si>
    <t>SITAMARHI, MUNICIPAL CORPORATION</t>
  </si>
  <si>
    <t>SIWAN, MUNICIPALITY</t>
  </si>
  <si>
    <t>SONBARSA, TOWN PANCHAYAT</t>
  </si>
  <si>
    <t>SONEPUR, TOWN PANCHAYAT</t>
  </si>
  <si>
    <t>SUGAULI, TOWN PANCHAYAT</t>
  </si>
  <si>
    <t>SULTANGANJ, MUNICIPALITY</t>
  </si>
  <si>
    <t>SUPAUL, MUNICIPALITY</t>
  </si>
  <si>
    <t>SURSAND, TOWN PANCHAYAT</t>
  </si>
  <si>
    <t>SURYAGADHA, MUNICIPALITY</t>
  </si>
  <si>
    <t>TAJPUR, MUNICIPALITY</t>
  </si>
  <si>
    <t>TARAPUR, TOWN PANCHAYAT</t>
  </si>
  <si>
    <t>TEGHRA, TOWN PANCHAYAT</t>
  </si>
  <si>
    <t>THAKURGANJ, TOWN PANCHAYAT</t>
  </si>
  <si>
    <t>TIKARI, MUNICIPALITY</t>
  </si>
  <si>
    <t>UDAKISHUNGANJ, MUNICIPALITY</t>
  </si>
  <si>
    <t>WARISALIGANJ, TOWN PANCHAYAT</t>
  </si>
  <si>
    <t>WAZIRGANJ, TOWN PANCHAYAT</t>
  </si>
  <si>
    <t>YOGAPATTI, TOWN PANCHAYAT</t>
  </si>
  <si>
    <t>Physical status of Houses at Lintel Level under PMAY(U)-2.0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</si>
</sst>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49" fontId="0" fillId="0" borderId="10" xfId="0" applyNumberFormat="1" applyBorder="1" applyAlignment="1">
      <alignment horizontal="left" wrapText="1"/>
    </xf>
    <xf numFmtId="0" fontId="0" fillId="0" borderId="0" xfId="0" applyAlignment="1">
      <alignment horizontal="left"/>
    </xf>
    <xf numFmtId="49" fontId="18" fillId="0" borderId="11" xfId="0" applyNumberFormat="1" applyFont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 wrapText="1"/>
    </xf>
    <xf numFmtId="0" fontId="19" fillId="0" borderId="11" xfId="0" applyNumberFormat="1" applyFont="1" applyBorder="1" applyAlignment="1">
      <alignment horizontal="center" wrapText="1"/>
    </xf>
    <xf numFmtId="49" fontId="19" fillId="0" borderId="11" xfId="0" applyNumberFormat="1" applyFont="1" applyBorder="1" applyAlignment="1">
      <alignment horizontal="left" wrapText="1"/>
    </xf>
    <xf numFmtId="0" fontId="19" fillId="0" borderId="11" xfId="0" applyFont="1" applyBorder="1" applyAlignment="1">
      <alignment horizontal="center"/>
    </xf>
    <xf numFmtId="49" fontId="19" fillId="0" borderId="11" xfId="0" applyNumberFormat="1" applyFont="1" applyBorder="1" applyAlignment="1">
      <alignment horizontal="center" wrapText="1"/>
    </xf>
    <xf numFmtId="49" fontId="18" fillId="0" borderId="11" xfId="0" applyNumberFormat="1" applyFont="1" applyBorder="1" applyAlignment="1">
      <alignment horizontal="left" wrapText="1"/>
    </xf>
    <xf numFmtId="0" fontId="18" fillId="0" borderId="11" xfId="0" applyNumberFormat="1" applyFont="1" applyBorder="1" applyAlignment="1">
      <alignment horizontal="center" wrapText="1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 wrapText="1"/>
    </xf>
    <xf numFmtId="0" fontId="19" fillId="0" borderId="16" xfId="0" applyNumberFormat="1" applyFont="1" applyBorder="1" applyAlignment="1">
      <alignment horizontal="center" wrapText="1"/>
    </xf>
    <xf numFmtId="49" fontId="19" fillId="0" borderId="16" xfId="0" applyNumberFormat="1" applyFont="1" applyBorder="1" applyAlignment="1">
      <alignment horizontal="left" wrapText="1"/>
    </xf>
    <xf numFmtId="0" fontId="19" fillId="0" borderId="17" xfId="0" applyNumberFormat="1" applyFont="1" applyBorder="1" applyAlignment="1">
      <alignment horizontal="center" wrapText="1"/>
    </xf>
    <xf numFmtId="0" fontId="19" fillId="0" borderId="10" xfId="0" applyNumberFormat="1" applyFont="1" applyBorder="1" applyAlignment="1">
      <alignment horizontal="center" wrapText="1"/>
    </xf>
    <xf numFmtId="49" fontId="19" fillId="0" borderId="10" xfId="0" applyNumberFormat="1" applyFont="1" applyBorder="1" applyAlignment="1">
      <alignment horizontal="left" wrapText="1"/>
    </xf>
    <xf numFmtId="0" fontId="19" fillId="0" borderId="12" xfId="0" applyNumberFormat="1" applyFont="1" applyBorder="1" applyAlignment="1">
      <alignment horizontal="center" wrapText="1"/>
    </xf>
    <xf numFmtId="49" fontId="19" fillId="0" borderId="10" xfId="0" applyNumberFormat="1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left" wrapText="1"/>
    </xf>
    <xf numFmtId="0" fontId="18" fillId="0" borderId="10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showGridLines="0" topLeftCell="A241" workbookViewId="0">
      <selection activeCell="J257" sqref="J257"/>
    </sheetView>
  </sheetViews>
  <sheetFormatPr defaultRowHeight="14.5" x14ac:dyDescent="0.35"/>
  <cols>
    <col min="1" max="1" width="4.08984375" style="4" customWidth="1"/>
    <col min="2" max="2" width="34.90625" style="6" bestFit="1" customWidth="1"/>
    <col min="3" max="3" width="15.6328125" style="4" customWidth="1"/>
    <col min="4" max="4" width="10.453125" style="4" bestFit="1" customWidth="1"/>
    <col min="5" max="5" width="8.54296875" style="4" customWidth="1"/>
    <col min="6" max="6" width="8.81640625" style="4" customWidth="1"/>
    <col min="7" max="7" width="10" style="4" bestFit="1" customWidth="1"/>
    <col min="8" max="8" width="9.26953125" style="4" customWidth="1"/>
  </cols>
  <sheetData>
    <row r="1" spans="1:8" ht="29" x14ac:dyDescent="0.35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</row>
    <row r="2" spans="1:8" x14ac:dyDescent="0.35">
      <c r="A2" s="2">
        <v>8</v>
      </c>
      <c r="B2" s="5" t="s">
        <v>2</v>
      </c>
      <c r="C2" s="2">
        <f>VLOOKUP(B2:B260,Sheet4!A:B,2,0)</f>
        <v>207</v>
      </c>
      <c r="D2" s="2">
        <v>79</v>
      </c>
      <c r="E2" s="2">
        <v>26</v>
      </c>
      <c r="F2" s="2">
        <v>1</v>
      </c>
      <c r="G2" s="2">
        <v>0</v>
      </c>
      <c r="H2" s="2">
        <v>106</v>
      </c>
    </row>
    <row r="3" spans="1:8" x14ac:dyDescent="0.35">
      <c r="A3" s="2">
        <v>85</v>
      </c>
      <c r="B3" s="5" t="s">
        <v>3</v>
      </c>
      <c r="C3" s="2">
        <f>VLOOKUP(B3:B261,Sheet4!A:B,2,0)</f>
        <v>109</v>
      </c>
      <c r="D3" s="2">
        <v>21</v>
      </c>
      <c r="E3" s="2">
        <v>73</v>
      </c>
      <c r="F3" s="2">
        <v>8</v>
      </c>
      <c r="G3" s="2">
        <v>1</v>
      </c>
      <c r="H3" s="2">
        <v>104</v>
      </c>
    </row>
    <row r="4" spans="1:8" x14ac:dyDescent="0.35">
      <c r="A4" s="2">
        <v>121</v>
      </c>
      <c r="B4" s="5" t="s">
        <v>4</v>
      </c>
      <c r="C4" s="2">
        <f>VLOOKUP(B4:B262,Sheet4!A:B,2,0)</f>
        <v>659</v>
      </c>
      <c r="D4" s="2">
        <v>108</v>
      </c>
      <c r="E4" s="2">
        <v>437</v>
      </c>
      <c r="F4" s="2">
        <v>31</v>
      </c>
      <c r="G4" s="2">
        <v>2</v>
      </c>
      <c r="H4" s="2">
        <v>586</v>
      </c>
    </row>
    <row r="5" spans="1:8" x14ac:dyDescent="0.35">
      <c r="A5" s="2">
        <v>122</v>
      </c>
      <c r="B5" s="5" t="s">
        <v>5</v>
      </c>
      <c r="C5" s="2">
        <f>VLOOKUP(B5:B263,Sheet4!A:B,2,0)</f>
        <v>249</v>
      </c>
      <c r="D5" s="2">
        <v>12</v>
      </c>
      <c r="E5" s="2">
        <v>212</v>
      </c>
      <c r="F5" s="2">
        <v>1</v>
      </c>
      <c r="G5" s="2">
        <v>1</v>
      </c>
      <c r="H5" s="2">
        <v>239</v>
      </c>
    </row>
    <row r="6" spans="1:8" x14ac:dyDescent="0.35">
      <c r="A6" s="2">
        <v>181</v>
      </c>
      <c r="B6" s="5" t="s">
        <v>6</v>
      </c>
      <c r="C6" s="2">
        <f>VLOOKUP(B6:B264,Sheet4!A:B,2,0)</f>
        <v>543</v>
      </c>
      <c r="D6" s="2">
        <v>175</v>
      </c>
      <c r="E6" s="2">
        <v>309</v>
      </c>
      <c r="F6" s="2">
        <v>1</v>
      </c>
      <c r="G6" s="2">
        <v>0</v>
      </c>
      <c r="H6" s="2">
        <v>490</v>
      </c>
    </row>
    <row r="7" spans="1:8" x14ac:dyDescent="0.35">
      <c r="A7" s="2">
        <v>211</v>
      </c>
      <c r="B7" s="5" t="s">
        <v>7</v>
      </c>
      <c r="C7" s="2">
        <f>VLOOKUP(B7:B265,Sheet4!A:B,2,0)</f>
        <v>732</v>
      </c>
      <c r="D7" s="2">
        <v>359</v>
      </c>
      <c r="E7" s="2">
        <v>114</v>
      </c>
      <c r="F7" s="2">
        <v>0</v>
      </c>
      <c r="G7" s="2">
        <v>0</v>
      </c>
      <c r="H7" s="2">
        <v>593</v>
      </c>
    </row>
    <row r="8" spans="1:8" x14ac:dyDescent="0.35">
      <c r="A8" s="2">
        <v>11</v>
      </c>
      <c r="B8" s="5" t="s">
        <v>8</v>
      </c>
      <c r="C8" s="2">
        <f>VLOOKUP(B8:B266,Sheet4!A:B,2,0)</f>
        <v>229</v>
      </c>
      <c r="D8" s="2">
        <v>34</v>
      </c>
      <c r="E8" s="2">
        <v>59</v>
      </c>
      <c r="F8" s="2">
        <v>25</v>
      </c>
      <c r="G8" s="2">
        <v>3</v>
      </c>
      <c r="H8" s="2">
        <v>121</v>
      </c>
    </row>
    <row r="9" spans="1:8" x14ac:dyDescent="0.35">
      <c r="A9" s="2">
        <v>146</v>
      </c>
      <c r="B9" s="5" t="s">
        <v>9</v>
      </c>
      <c r="C9" s="2">
        <f>VLOOKUP(B9:B267,Sheet4!A:B,2,0)</f>
        <v>42</v>
      </c>
      <c r="D9" s="2">
        <v>12</v>
      </c>
      <c r="E9" s="2">
        <v>28</v>
      </c>
      <c r="F9" s="2">
        <v>2</v>
      </c>
      <c r="G9" s="2">
        <v>0</v>
      </c>
      <c r="H9" s="2">
        <v>42</v>
      </c>
    </row>
    <row r="10" spans="1:8" x14ac:dyDescent="0.35">
      <c r="A10" s="2">
        <v>14</v>
      </c>
      <c r="B10" s="5" t="s">
        <v>10</v>
      </c>
      <c r="C10" s="2">
        <f>VLOOKUP(B10:B268,Sheet4!A:B,2,0)</f>
        <v>221</v>
      </c>
      <c r="D10" s="2">
        <v>20</v>
      </c>
      <c r="E10" s="2">
        <v>141</v>
      </c>
      <c r="F10" s="2">
        <v>51</v>
      </c>
      <c r="G10" s="2">
        <v>0</v>
      </c>
      <c r="H10" s="2">
        <v>213</v>
      </c>
    </row>
    <row r="11" spans="1:8" x14ac:dyDescent="0.35">
      <c r="A11" s="2">
        <v>35</v>
      </c>
      <c r="B11" s="5" t="s">
        <v>11</v>
      </c>
      <c r="C11" s="2">
        <f>VLOOKUP(B11:B269,Sheet4!A:B,2,0)</f>
        <v>604</v>
      </c>
      <c r="D11" s="2">
        <v>119</v>
      </c>
      <c r="E11" s="2">
        <v>223</v>
      </c>
      <c r="F11" s="2">
        <v>14</v>
      </c>
      <c r="G11" s="2">
        <v>0</v>
      </c>
      <c r="H11" s="2">
        <v>356</v>
      </c>
    </row>
    <row r="12" spans="1:8" x14ac:dyDescent="0.35">
      <c r="A12" s="2">
        <v>71</v>
      </c>
      <c r="B12" s="5" t="s">
        <v>12</v>
      </c>
      <c r="C12" s="2">
        <f>VLOOKUP(B12:B270,Sheet4!A:B,2,0)</f>
        <v>1309</v>
      </c>
      <c r="D12" s="2">
        <v>47</v>
      </c>
      <c r="E12" s="2">
        <v>1076</v>
      </c>
      <c r="F12" s="2">
        <v>6</v>
      </c>
      <c r="G12" s="2">
        <v>0</v>
      </c>
      <c r="H12" s="2">
        <v>1132</v>
      </c>
    </row>
    <row r="13" spans="1:8" x14ac:dyDescent="0.35">
      <c r="A13" s="2">
        <v>73</v>
      </c>
      <c r="B13" s="5" t="s">
        <v>13</v>
      </c>
      <c r="C13" s="2">
        <f>VLOOKUP(B13:B271,Sheet4!A:B,2,0)</f>
        <v>161</v>
      </c>
      <c r="D13" s="2">
        <v>20</v>
      </c>
      <c r="E13" s="2">
        <v>116</v>
      </c>
      <c r="F13" s="2">
        <v>2</v>
      </c>
      <c r="G13" s="2">
        <v>0</v>
      </c>
      <c r="H13" s="2">
        <v>138</v>
      </c>
    </row>
    <row r="14" spans="1:8" x14ac:dyDescent="0.35">
      <c r="A14" s="2">
        <v>178</v>
      </c>
      <c r="B14" s="5" t="s">
        <v>14</v>
      </c>
      <c r="C14" s="2">
        <f>VLOOKUP(B14:B272,Sheet4!A:B,2,0)</f>
        <v>283</v>
      </c>
      <c r="D14" s="2">
        <v>74</v>
      </c>
      <c r="E14" s="2">
        <v>63</v>
      </c>
      <c r="F14" s="2">
        <v>2</v>
      </c>
      <c r="G14" s="2">
        <v>0</v>
      </c>
      <c r="H14" s="2">
        <v>139</v>
      </c>
    </row>
    <row r="15" spans="1:8" x14ac:dyDescent="0.35">
      <c r="A15" s="2">
        <v>205</v>
      </c>
      <c r="B15" s="5" t="s">
        <v>15</v>
      </c>
      <c r="C15" s="2">
        <f>VLOOKUP(B15:B273,Sheet4!A:B,2,0)</f>
        <v>36</v>
      </c>
      <c r="D15" s="2">
        <v>2</v>
      </c>
      <c r="E15" s="2">
        <v>23</v>
      </c>
      <c r="F15" s="2">
        <v>10</v>
      </c>
      <c r="G15" s="2">
        <v>1</v>
      </c>
      <c r="H15" s="2">
        <v>36</v>
      </c>
    </row>
    <row r="16" spans="1:8" x14ac:dyDescent="0.35">
      <c r="A16" s="2">
        <v>4</v>
      </c>
      <c r="B16" s="5" t="s">
        <v>16</v>
      </c>
      <c r="C16" s="2">
        <f>VLOOKUP(B16:B274,Sheet4!A:B,2,0)</f>
        <v>468</v>
      </c>
      <c r="D16" s="2">
        <v>174</v>
      </c>
      <c r="E16" s="2">
        <v>100</v>
      </c>
      <c r="F16" s="2">
        <v>12</v>
      </c>
      <c r="G16" s="2">
        <v>0</v>
      </c>
      <c r="H16" s="2">
        <v>291</v>
      </c>
    </row>
    <row r="17" spans="1:8" x14ac:dyDescent="0.35">
      <c r="A17" s="2">
        <v>25</v>
      </c>
      <c r="B17" s="5" t="s">
        <v>17</v>
      </c>
      <c r="C17" s="2">
        <f>VLOOKUP(B17:B275,Sheet4!A:B,2,0)</f>
        <v>312</v>
      </c>
      <c r="D17" s="2">
        <v>120</v>
      </c>
      <c r="E17" s="2">
        <v>164</v>
      </c>
      <c r="F17" s="2">
        <v>25</v>
      </c>
      <c r="G17" s="2">
        <v>0</v>
      </c>
      <c r="H17" s="2">
        <v>309</v>
      </c>
    </row>
    <row r="18" spans="1:8" x14ac:dyDescent="0.35">
      <c r="A18" s="2">
        <v>58</v>
      </c>
      <c r="B18" s="5" t="s">
        <v>18</v>
      </c>
      <c r="C18" s="2">
        <f>VLOOKUP(B18:B276,Sheet4!A:B,2,0)</f>
        <v>596</v>
      </c>
      <c r="D18" s="2">
        <v>40</v>
      </c>
      <c r="E18" s="2">
        <v>439</v>
      </c>
      <c r="F18" s="2">
        <v>48</v>
      </c>
      <c r="G18" s="2">
        <v>0</v>
      </c>
      <c r="H18" s="2">
        <v>529</v>
      </c>
    </row>
    <row r="19" spans="1:8" x14ac:dyDescent="0.35">
      <c r="A19" s="2">
        <v>131</v>
      </c>
      <c r="B19" s="5" t="s">
        <v>19</v>
      </c>
      <c r="C19" s="2">
        <f>VLOOKUP(B19:B277,Sheet4!A:B,2,0)</f>
        <v>395</v>
      </c>
      <c r="D19" s="2">
        <v>33</v>
      </c>
      <c r="E19" s="2">
        <v>355</v>
      </c>
      <c r="F19" s="2">
        <v>1</v>
      </c>
      <c r="G19" s="2">
        <v>0</v>
      </c>
      <c r="H19" s="2">
        <v>391</v>
      </c>
    </row>
    <row r="20" spans="1:8" x14ac:dyDescent="0.35">
      <c r="A20" s="2">
        <v>20</v>
      </c>
      <c r="B20" s="5" t="s">
        <v>20</v>
      </c>
      <c r="C20" s="2">
        <f>VLOOKUP(B20:B278,Sheet4!A:B,2,0)</f>
        <v>1845</v>
      </c>
      <c r="D20" s="2">
        <v>285</v>
      </c>
      <c r="E20" s="2">
        <v>678</v>
      </c>
      <c r="F20" s="2">
        <v>9</v>
      </c>
      <c r="G20" s="2">
        <v>0</v>
      </c>
      <c r="H20" s="2">
        <v>1054</v>
      </c>
    </row>
    <row r="21" spans="1:8" x14ac:dyDescent="0.35">
      <c r="A21" s="2">
        <v>22</v>
      </c>
      <c r="B21" s="5" t="s">
        <v>21</v>
      </c>
      <c r="C21" s="2">
        <f>VLOOKUP(B21:B279,Sheet4!A:B,2,0)</f>
        <v>268</v>
      </c>
      <c r="D21" s="2">
        <v>27</v>
      </c>
      <c r="E21" s="2">
        <v>48</v>
      </c>
      <c r="F21" s="2">
        <v>0</v>
      </c>
      <c r="G21" s="2">
        <v>0</v>
      </c>
      <c r="H21" s="2">
        <v>75</v>
      </c>
    </row>
    <row r="22" spans="1:8" x14ac:dyDescent="0.35">
      <c r="A22" s="2">
        <v>30</v>
      </c>
      <c r="B22" s="5" t="s">
        <v>22</v>
      </c>
      <c r="C22" s="2">
        <f>VLOOKUP(B22:B280,Sheet4!A:B,2,0)</f>
        <v>557</v>
      </c>
      <c r="D22" s="2">
        <v>2</v>
      </c>
      <c r="E22" s="2">
        <v>457</v>
      </c>
      <c r="F22" s="2">
        <v>0</v>
      </c>
      <c r="G22" s="2">
        <v>0</v>
      </c>
      <c r="H22" s="2">
        <v>472</v>
      </c>
    </row>
    <row r="23" spans="1:8" x14ac:dyDescent="0.35">
      <c r="A23" s="2">
        <v>38</v>
      </c>
      <c r="B23" s="5" t="s">
        <v>23</v>
      </c>
      <c r="C23" s="2">
        <f>VLOOKUP(B23:B281,Sheet4!A:B,2,0)</f>
        <v>1507</v>
      </c>
      <c r="D23" s="2">
        <v>403</v>
      </c>
      <c r="E23" s="2">
        <v>593</v>
      </c>
      <c r="F23" s="2">
        <v>67</v>
      </c>
      <c r="G23" s="2">
        <v>0</v>
      </c>
      <c r="H23" s="2">
        <v>1113</v>
      </c>
    </row>
    <row r="24" spans="1:8" x14ac:dyDescent="0.35">
      <c r="A24" s="2">
        <v>51</v>
      </c>
      <c r="B24" s="5" t="s">
        <v>24</v>
      </c>
      <c r="C24" s="2">
        <f>VLOOKUP(B24:B282,Sheet4!A:B,2,0)</f>
        <v>1933</v>
      </c>
      <c r="D24" s="2">
        <v>335</v>
      </c>
      <c r="E24" s="2">
        <v>851</v>
      </c>
      <c r="F24" s="2">
        <v>124</v>
      </c>
      <c r="G24" s="2">
        <v>2</v>
      </c>
      <c r="H24" s="2">
        <v>1733</v>
      </c>
    </row>
    <row r="25" spans="1:8" x14ac:dyDescent="0.35">
      <c r="A25" s="2">
        <v>253</v>
      </c>
      <c r="B25" s="5" t="s">
        <v>25</v>
      </c>
      <c r="C25" s="2">
        <f>VLOOKUP(B25:B283,Sheet4!A:B,2,0)</f>
        <v>458</v>
      </c>
      <c r="D25" s="2">
        <v>94</v>
      </c>
      <c r="E25" s="2">
        <v>273</v>
      </c>
      <c r="F25" s="2">
        <v>20</v>
      </c>
      <c r="G25" s="2">
        <v>0</v>
      </c>
      <c r="H25" s="2">
        <v>398</v>
      </c>
    </row>
    <row r="26" spans="1:8" x14ac:dyDescent="0.35">
      <c r="A26" s="2">
        <v>1</v>
      </c>
      <c r="B26" s="5" t="s">
        <v>26</v>
      </c>
      <c r="C26" s="2">
        <f>VLOOKUP(B26:B284,Sheet4!A:B,2,0)</f>
        <v>420</v>
      </c>
      <c r="D26" s="2">
        <v>63</v>
      </c>
      <c r="E26" s="2">
        <v>230</v>
      </c>
      <c r="F26" s="2">
        <v>51</v>
      </c>
      <c r="G26" s="2">
        <v>0</v>
      </c>
      <c r="H26" s="2">
        <v>350</v>
      </c>
    </row>
    <row r="27" spans="1:8" x14ac:dyDescent="0.35">
      <c r="A27" s="2">
        <v>46</v>
      </c>
      <c r="B27" s="5" t="s">
        <v>27</v>
      </c>
      <c r="C27" s="2">
        <f>VLOOKUP(B27:B285,Sheet4!A:B,2,0)</f>
        <v>547</v>
      </c>
      <c r="D27" s="2">
        <v>138</v>
      </c>
      <c r="E27" s="2">
        <v>359</v>
      </c>
      <c r="F27" s="2">
        <v>16</v>
      </c>
      <c r="G27" s="2">
        <v>0</v>
      </c>
      <c r="H27" s="2">
        <v>516</v>
      </c>
    </row>
    <row r="28" spans="1:8" x14ac:dyDescent="0.35">
      <c r="A28" s="2">
        <v>97</v>
      </c>
      <c r="B28" s="5" t="s">
        <v>28</v>
      </c>
      <c r="C28" s="2">
        <f>VLOOKUP(B28:B286,Sheet4!A:B,2,0)</f>
        <v>745</v>
      </c>
      <c r="D28" s="2">
        <v>89</v>
      </c>
      <c r="E28" s="2">
        <v>371</v>
      </c>
      <c r="F28" s="2">
        <v>139</v>
      </c>
      <c r="G28" s="2">
        <v>0</v>
      </c>
      <c r="H28" s="2">
        <v>602</v>
      </c>
    </row>
    <row r="29" spans="1:8" x14ac:dyDescent="0.35">
      <c r="A29" s="2">
        <v>123</v>
      </c>
      <c r="B29" s="5" t="s">
        <v>29</v>
      </c>
      <c r="C29" s="2">
        <f>VLOOKUP(B29:B287,Sheet4!A:B,2,0)</f>
        <v>245</v>
      </c>
      <c r="D29" s="2">
        <v>16</v>
      </c>
      <c r="E29" s="2">
        <v>96</v>
      </c>
      <c r="F29" s="2">
        <v>74</v>
      </c>
      <c r="G29" s="2">
        <v>0</v>
      </c>
      <c r="H29" s="2">
        <v>188</v>
      </c>
    </row>
    <row r="30" spans="1:8" x14ac:dyDescent="0.35">
      <c r="A30" s="2">
        <v>184</v>
      </c>
      <c r="B30" s="5" t="s">
        <v>30</v>
      </c>
      <c r="C30" s="2">
        <f>VLOOKUP(B30:B288,Sheet4!A:B,2,0)</f>
        <v>386</v>
      </c>
      <c r="D30" s="2">
        <v>41</v>
      </c>
      <c r="E30" s="2">
        <v>111</v>
      </c>
      <c r="F30" s="2">
        <v>22</v>
      </c>
      <c r="G30" s="2">
        <v>2</v>
      </c>
      <c r="H30" s="2">
        <v>199</v>
      </c>
    </row>
    <row r="31" spans="1:8" x14ac:dyDescent="0.35">
      <c r="A31" s="2">
        <v>202</v>
      </c>
      <c r="B31" s="5" t="s">
        <v>31</v>
      </c>
      <c r="C31" s="2">
        <f>VLOOKUP(B31:B289,Sheet4!A:B,2,0)</f>
        <v>342</v>
      </c>
      <c r="D31" s="2">
        <v>50</v>
      </c>
      <c r="E31" s="2">
        <v>219</v>
      </c>
      <c r="F31" s="2">
        <v>15</v>
      </c>
      <c r="G31" s="2">
        <v>0</v>
      </c>
      <c r="H31" s="2">
        <v>284</v>
      </c>
    </row>
    <row r="32" spans="1:8" x14ac:dyDescent="0.35">
      <c r="A32" s="2">
        <v>217</v>
      </c>
      <c r="B32" s="5" t="s">
        <v>32</v>
      </c>
      <c r="C32" s="2">
        <f>VLOOKUP(B32:B290,Sheet4!A:B,2,0)</f>
        <v>234</v>
      </c>
      <c r="D32" s="2">
        <v>38</v>
      </c>
      <c r="E32" s="2">
        <v>121</v>
      </c>
      <c r="F32" s="2">
        <v>13</v>
      </c>
      <c r="G32" s="2">
        <v>0</v>
      </c>
      <c r="H32" s="2">
        <v>172</v>
      </c>
    </row>
    <row r="33" spans="1:8" x14ac:dyDescent="0.35">
      <c r="A33" s="2">
        <v>247</v>
      </c>
      <c r="B33" s="5" t="s">
        <v>33</v>
      </c>
      <c r="C33" s="2">
        <f>VLOOKUP(B33:B291,Sheet4!A:B,2,0)</f>
        <v>167</v>
      </c>
      <c r="D33" s="2">
        <v>30</v>
      </c>
      <c r="E33" s="2">
        <v>95</v>
      </c>
      <c r="F33" s="2">
        <v>21</v>
      </c>
      <c r="G33" s="2">
        <v>0</v>
      </c>
      <c r="H33" s="2">
        <v>153</v>
      </c>
    </row>
    <row r="34" spans="1:8" x14ac:dyDescent="0.35">
      <c r="A34" s="2">
        <v>10</v>
      </c>
      <c r="B34" s="5" t="s">
        <v>34</v>
      </c>
      <c r="C34" s="2">
        <f>VLOOKUP(B34:B292,Sheet4!A:B,2,0)</f>
        <v>161</v>
      </c>
      <c r="D34" s="2">
        <v>24</v>
      </c>
      <c r="E34" s="2">
        <v>123</v>
      </c>
      <c r="F34" s="2">
        <v>5</v>
      </c>
      <c r="G34" s="2">
        <v>1</v>
      </c>
      <c r="H34" s="2">
        <v>153</v>
      </c>
    </row>
    <row r="35" spans="1:8" x14ac:dyDescent="0.35">
      <c r="A35" s="2">
        <v>39</v>
      </c>
      <c r="B35" s="5" t="s">
        <v>35</v>
      </c>
      <c r="C35" s="2">
        <f>VLOOKUP(B35:B293,Sheet4!A:B,2,0)</f>
        <v>230</v>
      </c>
      <c r="D35" s="2">
        <v>22</v>
      </c>
      <c r="E35" s="2">
        <v>169</v>
      </c>
      <c r="F35" s="2">
        <v>10</v>
      </c>
      <c r="G35" s="2">
        <v>8</v>
      </c>
      <c r="H35" s="2">
        <v>210</v>
      </c>
    </row>
    <row r="36" spans="1:8" x14ac:dyDescent="0.35">
      <c r="A36" s="2">
        <v>86</v>
      </c>
      <c r="B36" s="5" t="s">
        <v>36</v>
      </c>
      <c r="C36" s="2">
        <f>VLOOKUP(B36:B294,Sheet4!A:B,2,0)</f>
        <v>1186</v>
      </c>
      <c r="D36" s="2">
        <v>176</v>
      </c>
      <c r="E36" s="2">
        <v>549</v>
      </c>
      <c r="F36" s="2">
        <v>93</v>
      </c>
      <c r="G36" s="2">
        <v>0</v>
      </c>
      <c r="H36" s="2">
        <v>821</v>
      </c>
    </row>
    <row r="37" spans="1:8" x14ac:dyDescent="0.35">
      <c r="A37" s="2">
        <v>110</v>
      </c>
      <c r="B37" s="5" t="s">
        <v>37</v>
      </c>
      <c r="C37" s="2">
        <f>VLOOKUP(B37:B295,Sheet4!A:B,2,0)</f>
        <v>521</v>
      </c>
      <c r="D37" s="2">
        <v>35</v>
      </c>
      <c r="E37" s="2">
        <v>149</v>
      </c>
      <c r="F37" s="2">
        <v>19</v>
      </c>
      <c r="G37" s="2">
        <v>1</v>
      </c>
      <c r="H37" s="2">
        <v>233</v>
      </c>
    </row>
    <row r="38" spans="1:8" x14ac:dyDescent="0.35">
      <c r="A38" s="2">
        <v>140</v>
      </c>
      <c r="B38" s="5" t="s">
        <v>38</v>
      </c>
      <c r="C38" s="2">
        <f>VLOOKUP(B38:B296,Sheet4!A:B,2,0)</f>
        <v>206</v>
      </c>
      <c r="D38" s="2">
        <v>27</v>
      </c>
      <c r="E38" s="2">
        <v>120</v>
      </c>
      <c r="F38" s="2">
        <v>19</v>
      </c>
      <c r="G38" s="2">
        <v>0</v>
      </c>
      <c r="H38" s="2">
        <v>168</v>
      </c>
    </row>
    <row r="39" spans="1:8" x14ac:dyDescent="0.35">
      <c r="A39" s="2">
        <v>201</v>
      </c>
      <c r="B39" s="5" t="s">
        <v>39</v>
      </c>
      <c r="C39" s="2">
        <f>VLOOKUP(B39:B297,Sheet4!A:B,2,0)</f>
        <v>325</v>
      </c>
      <c r="D39" s="2">
        <v>63</v>
      </c>
      <c r="E39" s="2">
        <v>94</v>
      </c>
      <c r="F39" s="2">
        <v>28</v>
      </c>
      <c r="G39" s="2">
        <v>0</v>
      </c>
      <c r="H39" s="2">
        <v>187</v>
      </c>
    </row>
    <row r="40" spans="1:8" x14ac:dyDescent="0.35">
      <c r="A40" s="2">
        <v>229</v>
      </c>
      <c r="B40" s="5" t="s">
        <v>40</v>
      </c>
      <c r="C40" s="2">
        <f>VLOOKUP(B40:B298,Sheet4!A:B,2,0)</f>
        <v>94</v>
      </c>
      <c r="D40" s="2">
        <v>17</v>
      </c>
      <c r="E40" s="2">
        <v>51</v>
      </c>
      <c r="F40" s="2">
        <v>16</v>
      </c>
      <c r="G40" s="2">
        <v>5</v>
      </c>
      <c r="H40" s="2">
        <v>90</v>
      </c>
    </row>
    <row r="41" spans="1:8" x14ac:dyDescent="0.35">
      <c r="A41" s="2">
        <v>59</v>
      </c>
      <c r="B41" s="5" t="s">
        <v>41</v>
      </c>
      <c r="C41" s="2">
        <f>VLOOKUP(B41:B299,Sheet4!A:B,2,0)</f>
        <v>246</v>
      </c>
      <c r="D41" s="2">
        <v>8</v>
      </c>
      <c r="E41" s="2">
        <v>218</v>
      </c>
      <c r="F41" s="2">
        <v>11</v>
      </c>
      <c r="G41" s="2">
        <v>0</v>
      </c>
      <c r="H41" s="2">
        <v>237</v>
      </c>
    </row>
    <row r="42" spans="1:8" x14ac:dyDescent="0.35">
      <c r="A42" s="2">
        <v>60</v>
      </c>
      <c r="B42" s="5" t="s">
        <v>42</v>
      </c>
      <c r="C42" s="2">
        <f>VLOOKUP(B42:B300,Sheet4!A:B,2,0)</f>
        <v>348</v>
      </c>
      <c r="D42" s="2">
        <v>73</v>
      </c>
      <c r="E42" s="2">
        <v>206</v>
      </c>
      <c r="F42" s="2">
        <v>13</v>
      </c>
      <c r="G42" s="2">
        <v>0</v>
      </c>
      <c r="H42" s="2">
        <v>305</v>
      </c>
    </row>
    <row r="43" spans="1:8" x14ac:dyDescent="0.35">
      <c r="A43" s="2">
        <v>66</v>
      </c>
      <c r="B43" s="5" t="s">
        <v>43</v>
      </c>
      <c r="C43" s="2">
        <f>VLOOKUP(B43:B301,Sheet4!A:B,2,0)</f>
        <v>212</v>
      </c>
      <c r="D43" s="2">
        <v>65</v>
      </c>
      <c r="E43" s="2">
        <v>118</v>
      </c>
      <c r="F43" s="2">
        <v>1</v>
      </c>
      <c r="G43" s="2">
        <v>0</v>
      </c>
      <c r="H43" s="2">
        <v>185</v>
      </c>
    </row>
    <row r="44" spans="1:8" x14ac:dyDescent="0.35">
      <c r="A44" s="2">
        <v>80</v>
      </c>
      <c r="B44" s="5" t="s">
        <v>44</v>
      </c>
      <c r="C44" s="2">
        <f>VLOOKUP(B44:B302,Sheet4!A:B,2,0)</f>
        <v>372</v>
      </c>
      <c r="D44" s="2">
        <v>39</v>
      </c>
      <c r="E44" s="2">
        <v>280</v>
      </c>
      <c r="F44" s="2">
        <v>17</v>
      </c>
      <c r="G44" s="2">
        <v>4</v>
      </c>
      <c r="H44" s="2">
        <v>341</v>
      </c>
    </row>
    <row r="45" spans="1:8" x14ac:dyDescent="0.35">
      <c r="A45" s="2">
        <v>109</v>
      </c>
      <c r="B45" s="5" t="s">
        <v>45</v>
      </c>
      <c r="C45" s="2">
        <f>VLOOKUP(B45:B303,Sheet4!A:B,2,0)</f>
        <v>409</v>
      </c>
      <c r="D45" s="2">
        <v>133</v>
      </c>
      <c r="E45" s="2">
        <v>142</v>
      </c>
      <c r="F45" s="2">
        <v>5</v>
      </c>
      <c r="G45" s="2">
        <v>0</v>
      </c>
      <c r="H45" s="2">
        <v>295</v>
      </c>
    </row>
    <row r="46" spans="1:8" x14ac:dyDescent="0.35">
      <c r="A46" s="2">
        <v>17</v>
      </c>
      <c r="B46" s="5" t="s">
        <v>46</v>
      </c>
      <c r="C46" s="2">
        <f>VLOOKUP(B46:B304,Sheet4!A:B,2,0)</f>
        <v>316</v>
      </c>
      <c r="D46" s="2">
        <v>75</v>
      </c>
      <c r="E46" s="2">
        <v>189</v>
      </c>
      <c r="F46" s="2">
        <v>0</v>
      </c>
      <c r="G46" s="2">
        <v>0</v>
      </c>
      <c r="H46" s="2">
        <v>304</v>
      </c>
    </row>
    <row r="47" spans="1:8" x14ac:dyDescent="0.35">
      <c r="A47" s="2">
        <v>43</v>
      </c>
      <c r="B47" s="5" t="s">
        <v>47</v>
      </c>
      <c r="C47" s="2">
        <f>VLOOKUP(B47:B305,Sheet4!A:B,2,0)</f>
        <v>802</v>
      </c>
      <c r="D47" s="2">
        <v>292</v>
      </c>
      <c r="E47" s="2">
        <v>225</v>
      </c>
      <c r="F47" s="2">
        <v>5</v>
      </c>
      <c r="G47" s="2">
        <v>0</v>
      </c>
      <c r="H47" s="2">
        <v>651</v>
      </c>
    </row>
    <row r="48" spans="1:8" x14ac:dyDescent="0.35">
      <c r="A48" s="2">
        <v>47</v>
      </c>
      <c r="B48" s="5" t="s">
        <v>48</v>
      </c>
      <c r="C48" s="2">
        <f>VLOOKUP(B48:B306,Sheet4!A:B,2,0)</f>
        <v>792</v>
      </c>
      <c r="D48" s="2">
        <v>68</v>
      </c>
      <c r="E48" s="2">
        <v>408</v>
      </c>
      <c r="F48" s="2">
        <v>47</v>
      </c>
      <c r="G48" s="2">
        <v>0</v>
      </c>
      <c r="H48" s="2">
        <v>535</v>
      </c>
    </row>
    <row r="49" spans="1:8" x14ac:dyDescent="0.35">
      <c r="A49" s="2">
        <v>55</v>
      </c>
      <c r="B49" s="5" t="s">
        <v>49</v>
      </c>
      <c r="C49" s="2">
        <f>VLOOKUP(B49:B307,Sheet4!A:B,2,0)</f>
        <v>838</v>
      </c>
      <c r="D49" s="2">
        <v>528</v>
      </c>
      <c r="E49" s="2">
        <v>17</v>
      </c>
      <c r="F49" s="2">
        <v>8</v>
      </c>
      <c r="G49" s="2">
        <v>0</v>
      </c>
      <c r="H49" s="2">
        <v>662</v>
      </c>
    </row>
    <row r="50" spans="1:8" x14ac:dyDescent="0.35">
      <c r="A50" s="2">
        <v>70</v>
      </c>
      <c r="B50" s="5" t="s">
        <v>50</v>
      </c>
      <c r="C50" s="2">
        <f>VLOOKUP(B50:B308,Sheet4!A:B,2,0)</f>
        <v>950</v>
      </c>
      <c r="D50" s="2">
        <v>343</v>
      </c>
      <c r="E50" s="2">
        <v>387</v>
      </c>
      <c r="F50" s="2">
        <v>69</v>
      </c>
      <c r="G50" s="2">
        <v>6</v>
      </c>
      <c r="H50" s="2">
        <v>806</v>
      </c>
    </row>
    <row r="51" spans="1:8" x14ac:dyDescent="0.35">
      <c r="A51" s="2">
        <v>88</v>
      </c>
      <c r="B51" s="5" t="s">
        <v>51</v>
      </c>
      <c r="C51" s="2">
        <f>VLOOKUP(B51:B309,Sheet4!A:B,2,0)</f>
        <v>1443</v>
      </c>
      <c r="D51" s="2">
        <v>330</v>
      </c>
      <c r="E51" s="2">
        <v>211</v>
      </c>
      <c r="F51" s="2">
        <v>0</v>
      </c>
      <c r="G51" s="2">
        <v>0</v>
      </c>
      <c r="H51" s="2">
        <v>565</v>
      </c>
    </row>
    <row r="52" spans="1:8" x14ac:dyDescent="0.35">
      <c r="A52" s="2">
        <v>104</v>
      </c>
      <c r="B52" s="5" t="s">
        <v>52</v>
      </c>
      <c r="C52" s="2">
        <f>VLOOKUP(B52:B310,Sheet4!A:B,2,0)</f>
        <v>400</v>
      </c>
      <c r="D52" s="2">
        <v>76</v>
      </c>
      <c r="E52" s="2">
        <v>164</v>
      </c>
      <c r="F52" s="2">
        <v>11</v>
      </c>
      <c r="G52" s="2">
        <v>0</v>
      </c>
      <c r="H52" s="2">
        <v>294</v>
      </c>
    </row>
    <row r="53" spans="1:8" x14ac:dyDescent="0.35">
      <c r="A53" s="2">
        <v>112</v>
      </c>
      <c r="B53" s="5" t="s">
        <v>53</v>
      </c>
      <c r="C53" s="2">
        <f>VLOOKUP(B53:B311,Sheet4!A:B,2,0)</f>
        <v>2545</v>
      </c>
      <c r="D53" s="2">
        <v>213</v>
      </c>
      <c r="E53" s="2">
        <v>1840</v>
      </c>
      <c r="F53" s="2">
        <v>103</v>
      </c>
      <c r="G53" s="2">
        <v>13</v>
      </c>
      <c r="H53" s="2">
        <v>2230</v>
      </c>
    </row>
    <row r="54" spans="1:8" x14ac:dyDescent="0.35">
      <c r="A54" s="2">
        <v>125</v>
      </c>
      <c r="B54" s="5" t="s">
        <v>54</v>
      </c>
      <c r="C54" s="2">
        <f>VLOOKUP(B54:B312,Sheet4!A:B,2,0)</f>
        <v>875</v>
      </c>
      <c r="D54" s="2">
        <v>158</v>
      </c>
      <c r="E54" s="2">
        <v>344</v>
      </c>
      <c r="F54" s="2">
        <v>4</v>
      </c>
      <c r="G54" s="2">
        <v>0</v>
      </c>
      <c r="H54" s="2">
        <v>755</v>
      </c>
    </row>
    <row r="55" spans="1:8" ht="29" x14ac:dyDescent="0.35">
      <c r="A55" s="2">
        <v>147</v>
      </c>
      <c r="B55" s="5" t="s">
        <v>55</v>
      </c>
      <c r="C55" s="2">
        <f>VLOOKUP(B55:B313,Sheet4!A:B,2,0)</f>
        <v>621</v>
      </c>
      <c r="D55" s="2">
        <v>214</v>
      </c>
      <c r="E55" s="2">
        <v>93</v>
      </c>
      <c r="F55" s="2">
        <v>62</v>
      </c>
      <c r="G55" s="2">
        <v>0</v>
      </c>
      <c r="H55" s="2">
        <v>420</v>
      </c>
    </row>
    <row r="56" spans="1:8" x14ac:dyDescent="0.35">
      <c r="A56" s="2">
        <v>240</v>
      </c>
      <c r="B56" s="5" t="s">
        <v>56</v>
      </c>
      <c r="C56" s="2">
        <f>VLOOKUP(B56:B314,Sheet4!A:B,2,0)</f>
        <v>1094</v>
      </c>
      <c r="D56" s="2">
        <v>222</v>
      </c>
      <c r="E56" s="2">
        <v>678</v>
      </c>
      <c r="F56" s="2">
        <v>12</v>
      </c>
      <c r="G56" s="2">
        <v>0</v>
      </c>
      <c r="H56" s="2">
        <v>913</v>
      </c>
    </row>
    <row r="57" spans="1:8" x14ac:dyDescent="0.35">
      <c r="A57" s="2">
        <v>57</v>
      </c>
      <c r="B57" s="5" t="s">
        <v>57</v>
      </c>
      <c r="C57" s="2">
        <f>VLOOKUP(B57:B315,Sheet4!A:B,2,0)</f>
        <v>4137</v>
      </c>
      <c r="D57" s="2">
        <v>691</v>
      </c>
      <c r="E57" s="2">
        <v>1008</v>
      </c>
      <c r="F57" s="2">
        <v>133</v>
      </c>
      <c r="G57" s="2">
        <v>0</v>
      </c>
      <c r="H57" s="2">
        <v>1956</v>
      </c>
    </row>
    <row r="58" spans="1:8" x14ac:dyDescent="0.35">
      <c r="A58" s="2">
        <v>79</v>
      </c>
      <c r="B58" s="5" t="s">
        <v>58</v>
      </c>
      <c r="C58" s="2">
        <f>VLOOKUP(B58:B316,Sheet4!A:B,2,0)</f>
        <v>649</v>
      </c>
      <c r="D58" s="2">
        <v>396</v>
      </c>
      <c r="E58" s="2">
        <v>36</v>
      </c>
      <c r="F58" s="2">
        <v>0</v>
      </c>
      <c r="G58" s="2">
        <v>0</v>
      </c>
      <c r="H58" s="2">
        <v>436</v>
      </c>
    </row>
    <row r="59" spans="1:8" x14ac:dyDescent="0.35">
      <c r="A59" s="2">
        <v>83</v>
      </c>
      <c r="B59" s="5" t="s">
        <v>59</v>
      </c>
      <c r="C59" s="2">
        <f>VLOOKUP(B59:B317,Sheet4!A:B,2,0)</f>
        <v>650</v>
      </c>
      <c r="D59" s="2">
        <v>52</v>
      </c>
      <c r="E59" s="2">
        <v>330</v>
      </c>
      <c r="F59" s="2">
        <v>53</v>
      </c>
      <c r="G59" s="2">
        <v>0</v>
      </c>
      <c r="H59" s="2">
        <v>501</v>
      </c>
    </row>
    <row r="60" spans="1:8" x14ac:dyDescent="0.35">
      <c r="A60" s="2">
        <v>87</v>
      </c>
      <c r="B60" s="5" t="s">
        <v>60</v>
      </c>
      <c r="C60" s="2">
        <f>VLOOKUP(B60:B318,Sheet4!A:B,2,0)</f>
        <v>1471</v>
      </c>
      <c r="D60" s="2">
        <v>68</v>
      </c>
      <c r="E60" s="2">
        <v>1129</v>
      </c>
      <c r="F60" s="2">
        <v>17</v>
      </c>
      <c r="G60" s="2">
        <v>11</v>
      </c>
      <c r="H60" s="2">
        <v>1227</v>
      </c>
    </row>
    <row r="61" spans="1:8" x14ac:dyDescent="0.35">
      <c r="A61" s="2">
        <v>107</v>
      </c>
      <c r="B61" s="5" t="s">
        <v>61</v>
      </c>
      <c r="C61" s="2">
        <f>VLOOKUP(B61:B319,Sheet4!A:B,2,0)</f>
        <v>1532</v>
      </c>
      <c r="D61" s="2">
        <v>59</v>
      </c>
      <c r="E61" s="2">
        <v>551</v>
      </c>
      <c r="F61" s="2">
        <v>2</v>
      </c>
      <c r="G61" s="2">
        <v>0</v>
      </c>
      <c r="H61" s="2">
        <v>616</v>
      </c>
    </row>
    <row r="62" spans="1:8" x14ac:dyDescent="0.35">
      <c r="A62" s="2">
        <v>135</v>
      </c>
      <c r="B62" s="5" t="s">
        <v>62</v>
      </c>
      <c r="C62" s="2">
        <f>VLOOKUP(B62:B320,Sheet4!A:B,2,0)</f>
        <v>458</v>
      </c>
      <c r="D62" s="2">
        <v>126</v>
      </c>
      <c r="E62" s="2">
        <v>295</v>
      </c>
      <c r="F62" s="2">
        <v>12</v>
      </c>
      <c r="G62" s="2">
        <v>1</v>
      </c>
      <c r="H62" s="2">
        <v>436</v>
      </c>
    </row>
    <row r="63" spans="1:8" x14ac:dyDescent="0.35">
      <c r="A63" s="2">
        <v>233</v>
      </c>
      <c r="B63" s="5" t="s">
        <v>63</v>
      </c>
      <c r="C63" s="2">
        <f>VLOOKUP(B63:B321,Sheet4!A:B,2,0)</f>
        <v>841</v>
      </c>
      <c r="D63" s="2">
        <v>190</v>
      </c>
      <c r="E63" s="2">
        <v>212</v>
      </c>
      <c r="F63" s="2">
        <v>18</v>
      </c>
      <c r="G63" s="2">
        <v>0</v>
      </c>
      <c r="H63" s="2">
        <v>424</v>
      </c>
    </row>
    <row r="64" spans="1:8" x14ac:dyDescent="0.35">
      <c r="A64" s="2">
        <v>255</v>
      </c>
      <c r="B64" s="5" t="s">
        <v>64</v>
      </c>
      <c r="C64" s="2">
        <f>VLOOKUP(B64:B322,Sheet4!A:B,2,0)</f>
        <v>403</v>
      </c>
      <c r="D64" s="2">
        <v>68</v>
      </c>
      <c r="E64" s="2">
        <v>312</v>
      </c>
      <c r="F64" s="2">
        <v>3</v>
      </c>
      <c r="G64" s="2">
        <v>0</v>
      </c>
      <c r="H64" s="2">
        <v>384</v>
      </c>
    </row>
    <row r="65" spans="1:8" x14ac:dyDescent="0.35">
      <c r="A65" s="2">
        <v>259</v>
      </c>
      <c r="B65" s="5" t="s">
        <v>65</v>
      </c>
      <c r="C65" s="2">
        <f>VLOOKUP(B65:B323,Sheet4!A:B,2,0)</f>
        <v>447</v>
      </c>
      <c r="D65" s="2">
        <v>313</v>
      </c>
      <c r="E65" s="2">
        <v>8</v>
      </c>
      <c r="F65" s="2">
        <v>0</v>
      </c>
      <c r="G65" s="2">
        <v>0</v>
      </c>
      <c r="H65" s="2">
        <v>361</v>
      </c>
    </row>
    <row r="66" spans="1:8" x14ac:dyDescent="0.35">
      <c r="A66" s="2">
        <v>29</v>
      </c>
      <c r="B66" s="5" t="s">
        <v>66</v>
      </c>
      <c r="C66" s="2">
        <f>VLOOKUP(B66:B324,Sheet4!A:B,2,0)</f>
        <v>202</v>
      </c>
      <c r="D66" s="2">
        <v>132</v>
      </c>
      <c r="E66" s="2">
        <v>28</v>
      </c>
      <c r="F66" s="2">
        <v>5</v>
      </c>
      <c r="G66" s="2">
        <v>0</v>
      </c>
      <c r="H66" s="2">
        <v>177</v>
      </c>
    </row>
    <row r="67" spans="1:8" x14ac:dyDescent="0.35">
      <c r="A67" s="2">
        <v>93</v>
      </c>
      <c r="B67" s="5" t="s">
        <v>67</v>
      </c>
      <c r="C67" s="2">
        <f>VLOOKUP(B67:B325,Sheet4!A:B,2,0)</f>
        <v>212</v>
      </c>
      <c r="D67" s="2">
        <v>141</v>
      </c>
      <c r="E67" s="2">
        <v>56</v>
      </c>
      <c r="F67" s="2">
        <v>2</v>
      </c>
      <c r="G67" s="2">
        <v>0</v>
      </c>
      <c r="H67" s="2">
        <v>202</v>
      </c>
    </row>
    <row r="68" spans="1:8" x14ac:dyDescent="0.35">
      <c r="A68" s="2">
        <v>102</v>
      </c>
      <c r="B68" s="5" t="s">
        <v>68</v>
      </c>
      <c r="C68" s="2">
        <f>VLOOKUP(B68:B326,Sheet4!A:B,2,0)</f>
        <v>168</v>
      </c>
      <c r="D68" s="2">
        <v>101</v>
      </c>
      <c r="E68" s="2">
        <v>33</v>
      </c>
      <c r="F68" s="2">
        <v>0</v>
      </c>
      <c r="G68" s="2">
        <v>0</v>
      </c>
      <c r="H68" s="2">
        <v>145</v>
      </c>
    </row>
    <row r="69" spans="1:8" x14ac:dyDescent="0.35">
      <c r="A69" s="2">
        <v>129</v>
      </c>
      <c r="B69" s="5" t="s">
        <v>69</v>
      </c>
      <c r="C69" s="2">
        <f>VLOOKUP(B69:B327,Sheet4!A:B,2,0)</f>
        <v>690</v>
      </c>
      <c r="D69" s="2">
        <v>71</v>
      </c>
      <c r="E69" s="2">
        <v>441</v>
      </c>
      <c r="F69" s="2">
        <v>11</v>
      </c>
      <c r="G69" s="2">
        <v>7</v>
      </c>
      <c r="H69" s="2">
        <v>574</v>
      </c>
    </row>
    <row r="70" spans="1:8" x14ac:dyDescent="0.35">
      <c r="A70" s="2">
        <v>167</v>
      </c>
      <c r="B70" s="5" t="s">
        <v>70</v>
      </c>
      <c r="C70" s="2">
        <f>VLOOKUP(B70:B328,Sheet4!A:B,2,0)</f>
        <v>2081</v>
      </c>
      <c r="D70" s="2">
        <v>356</v>
      </c>
      <c r="E70" s="2">
        <v>532</v>
      </c>
      <c r="F70" s="2">
        <v>6</v>
      </c>
      <c r="G70" s="2">
        <v>0</v>
      </c>
      <c r="H70" s="2">
        <v>899</v>
      </c>
    </row>
    <row r="71" spans="1:8" x14ac:dyDescent="0.35">
      <c r="A71" s="2">
        <v>114</v>
      </c>
      <c r="B71" s="5" t="s">
        <v>71</v>
      </c>
      <c r="C71" s="2">
        <f>VLOOKUP(B71:B329,Sheet4!A:B,2,0)</f>
        <v>141</v>
      </c>
      <c r="D71" s="2">
        <v>48</v>
      </c>
      <c r="E71" s="2">
        <v>57</v>
      </c>
      <c r="F71" s="2">
        <v>1</v>
      </c>
      <c r="G71" s="2">
        <v>2</v>
      </c>
      <c r="H71" s="2">
        <v>109</v>
      </c>
    </row>
    <row r="72" spans="1:8" x14ac:dyDescent="0.35">
      <c r="A72" s="2">
        <v>119</v>
      </c>
      <c r="B72" s="5" t="s">
        <v>72</v>
      </c>
      <c r="C72" s="2">
        <f>VLOOKUP(B72:B330,Sheet4!A:B,2,0)</f>
        <v>876</v>
      </c>
      <c r="D72" s="2">
        <v>41</v>
      </c>
      <c r="E72" s="2">
        <v>649</v>
      </c>
      <c r="F72" s="2">
        <v>30</v>
      </c>
      <c r="G72" s="2">
        <v>2</v>
      </c>
      <c r="H72" s="2">
        <v>723</v>
      </c>
    </row>
    <row r="73" spans="1:8" x14ac:dyDescent="0.35">
      <c r="A73" s="2">
        <v>234</v>
      </c>
      <c r="B73" s="5" t="s">
        <v>73</v>
      </c>
      <c r="C73" s="2">
        <f>VLOOKUP(B73:B331,Sheet4!A:B,2,0)</f>
        <v>125</v>
      </c>
      <c r="D73" s="2">
        <v>9</v>
      </c>
      <c r="E73" s="2">
        <v>102</v>
      </c>
      <c r="F73" s="2">
        <v>1</v>
      </c>
      <c r="G73" s="2">
        <v>0</v>
      </c>
      <c r="H73" s="2">
        <v>112</v>
      </c>
    </row>
    <row r="74" spans="1:8" x14ac:dyDescent="0.35">
      <c r="A74" s="2">
        <v>90</v>
      </c>
      <c r="B74" s="5" t="s">
        <v>74</v>
      </c>
      <c r="C74" s="2">
        <f>VLOOKUP(B74:B332,Sheet4!A:B,2,0)</f>
        <v>1441</v>
      </c>
      <c r="D74" s="2">
        <v>294</v>
      </c>
      <c r="E74" s="2">
        <v>507</v>
      </c>
      <c r="F74" s="2">
        <v>20</v>
      </c>
      <c r="G74" s="2">
        <v>0</v>
      </c>
      <c r="H74" s="2">
        <v>852</v>
      </c>
    </row>
    <row r="75" spans="1:8" x14ac:dyDescent="0.35">
      <c r="A75" s="2">
        <v>118</v>
      </c>
      <c r="B75" s="5" t="s">
        <v>75</v>
      </c>
      <c r="C75" s="2">
        <f>VLOOKUP(B75:B333,Sheet4!A:B,2,0)</f>
        <v>338</v>
      </c>
      <c r="D75" s="2">
        <v>64</v>
      </c>
      <c r="E75" s="2">
        <v>175</v>
      </c>
      <c r="F75" s="2">
        <v>17</v>
      </c>
      <c r="G75" s="2">
        <v>1</v>
      </c>
      <c r="H75" s="2">
        <v>258</v>
      </c>
    </row>
    <row r="76" spans="1:8" x14ac:dyDescent="0.35">
      <c r="A76" s="2">
        <v>124</v>
      </c>
      <c r="B76" s="5" t="s">
        <v>76</v>
      </c>
      <c r="C76" s="2">
        <f>VLOOKUP(B76:B334,Sheet4!A:B,2,0)</f>
        <v>233</v>
      </c>
      <c r="D76" s="2">
        <v>93</v>
      </c>
      <c r="E76" s="2">
        <v>88</v>
      </c>
      <c r="F76" s="2">
        <v>0</v>
      </c>
      <c r="G76" s="2">
        <v>0</v>
      </c>
      <c r="H76" s="2">
        <v>185</v>
      </c>
    </row>
    <row r="77" spans="1:8" x14ac:dyDescent="0.35">
      <c r="A77" s="2">
        <v>158</v>
      </c>
      <c r="B77" s="5" t="s">
        <v>77</v>
      </c>
      <c r="C77" s="2">
        <f>VLOOKUP(B77:B335,Sheet4!A:B,2,0)</f>
        <v>938</v>
      </c>
      <c r="D77" s="2">
        <v>360</v>
      </c>
      <c r="E77" s="2">
        <v>364</v>
      </c>
      <c r="F77" s="2">
        <v>33</v>
      </c>
      <c r="G77" s="2">
        <v>4</v>
      </c>
      <c r="H77" s="2">
        <v>763</v>
      </c>
    </row>
    <row r="78" spans="1:8" x14ac:dyDescent="0.35">
      <c r="A78" s="2">
        <v>45</v>
      </c>
      <c r="B78" s="5" t="s">
        <v>78</v>
      </c>
      <c r="C78" s="2">
        <f>VLOOKUP(B78:B336,Sheet4!A:B,2,0)</f>
        <v>346</v>
      </c>
      <c r="D78" s="2">
        <v>116</v>
      </c>
      <c r="E78" s="2">
        <v>162</v>
      </c>
      <c r="F78" s="2">
        <v>14</v>
      </c>
      <c r="G78" s="2">
        <v>0</v>
      </c>
      <c r="H78" s="2">
        <v>299</v>
      </c>
    </row>
    <row r="79" spans="1:8" x14ac:dyDescent="0.35">
      <c r="A79" s="2">
        <v>101</v>
      </c>
      <c r="B79" s="5" t="s">
        <v>79</v>
      </c>
      <c r="C79" s="2">
        <f>VLOOKUP(B79:B337,Sheet4!A:B,2,0)</f>
        <v>504</v>
      </c>
      <c r="D79" s="2">
        <v>167</v>
      </c>
      <c r="E79" s="2">
        <v>280</v>
      </c>
      <c r="F79" s="2">
        <v>2</v>
      </c>
      <c r="G79" s="2">
        <v>0</v>
      </c>
      <c r="H79" s="2">
        <v>466</v>
      </c>
    </row>
    <row r="80" spans="1:8" x14ac:dyDescent="0.35">
      <c r="A80" s="2">
        <v>143</v>
      </c>
      <c r="B80" s="5" t="s">
        <v>80</v>
      </c>
      <c r="C80" s="2">
        <f>VLOOKUP(B80:B338,Sheet4!A:B,2,0)</f>
        <v>228</v>
      </c>
      <c r="D80" s="2">
        <v>16</v>
      </c>
      <c r="E80" s="2">
        <v>184</v>
      </c>
      <c r="F80" s="2">
        <v>7</v>
      </c>
      <c r="G80" s="2">
        <v>0</v>
      </c>
      <c r="H80" s="2">
        <v>209</v>
      </c>
    </row>
    <row r="81" spans="1:8" x14ac:dyDescent="0.35">
      <c r="A81" s="2">
        <v>169</v>
      </c>
      <c r="B81" s="5" t="s">
        <v>81</v>
      </c>
      <c r="C81" s="2">
        <f>VLOOKUP(B81:B339,Sheet4!A:B,2,0)</f>
        <v>210</v>
      </c>
      <c r="D81" s="2">
        <v>21</v>
      </c>
      <c r="E81" s="2">
        <v>136</v>
      </c>
      <c r="F81" s="2">
        <v>14</v>
      </c>
      <c r="G81" s="2">
        <v>1</v>
      </c>
      <c r="H81" s="2">
        <v>175</v>
      </c>
    </row>
    <row r="82" spans="1:8" x14ac:dyDescent="0.35">
      <c r="A82" s="2">
        <v>209</v>
      </c>
      <c r="B82" s="5" t="s">
        <v>82</v>
      </c>
      <c r="C82" s="2">
        <f>VLOOKUP(B82:B340,Sheet4!A:B,2,0)</f>
        <v>170</v>
      </c>
      <c r="D82" s="2">
        <v>4</v>
      </c>
      <c r="E82" s="2">
        <v>138</v>
      </c>
      <c r="F82" s="2">
        <v>3</v>
      </c>
      <c r="G82" s="2">
        <v>0</v>
      </c>
      <c r="H82" s="2">
        <v>145</v>
      </c>
    </row>
    <row r="83" spans="1:8" x14ac:dyDescent="0.35">
      <c r="A83" s="2">
        <v>5</v>
      </c>
      <c r="B83" s="5" t="s">
        <v>83</v>
      </c>
      <c r="C83" s="2">
        <f>VLOOKUP(B83:B341,Sheet4!A:B,2,0)</f>
        <v>377</v>
      </c>
      <c r="D83" s="2">
        <v>59</v>
      </c>
      <c r="E83" s="2">
        <v>308</v>
      </c>
      <c r="F83" s="2">
        <v>0</v>
      </c>
      <c r="G83" s="2">
        <v>0</v>
      </c>
      <c r="H83" s="2">
        <v>367</v>
      </c>
    </row>
    <row r="84" spans="1:8" x14ac:dyDescent="0.35">
      <c r="A84" s="2">
        <v>23</v>
      </c>
      <c r="B84" s="5" t="s">
        <v>84</v>
      </c>
      <c r="C84" s="2">
        <f>VLOOKUP(B84:B342,Sheet4!A:B,2,0)</f>
        <v>108</v>
      </c>
      <c r="D84" s="2">
        <v>42</v>
      </c>
      <c r="E84" s="2">
        <v>53</v>
      </c>
      <c r="F84" s="2">
        <v>8</v>
      </c>
      <c r="G84" s="2">
        <v>0</v>
      </c>
      <c r="H84" s="2">
        <v>107</v>
      </c>
    </row>
    <row r="85" spans="1:8" x14ac:dyDescent="0.35">
      <c r="A85" s="2">
        <v>28</v>
      </c>
      <c r="B85" s="5" t="s">
        <v>85</v>
      </c>
      <c r="C85" s="2">
        <f>VLOOKUP(B85:B343,Sheet4!A:B,2,0)</f>
        <v>297</v>
      </c>
      <c r="D85" s="2">
        <v>152</v>
      </c>
      <c r="E85" s="2">
        <v>77</v>
      </c>
      <c r="F85" s="2">
        <v>2</v>
      </c>
      <c r="G85" s="2">
        <v>0</v>
      </c>
      <c r="H85" s="2">
        <v>232</v>
      </c>
    </row>
    <row r="86" spans="1:8" x14ac:dyDescent="0.35">
      <c r="A86" s="2">
        <v>34</v>
      </c>
      <c r="B86" s="5" t="s">
        <v>86</v>
      </c>
      <c r="C86" s="2">
        <f>VLOOKUP(B86:B344,Sheet4!A:B,2,0)</f>
        <v>74</v>
      </c>
      <c r="D86" s="2">
        <v>34</v>
      </c>
      <c r="E86" s="2">
        <v>14</v>
      </c>
      <c r="F86" s="2">
        <v>4</v>
      </c>
      <c r="G86" s="2">
        <v>1</v>
      </c>
      <c r="H86" s="2">
        <v>56</v>
      </c>
    </row>
    <row r="87" spans="1:8" x14ac:dyDescent="0.35">
      <c r="A87" s="2">
        <v>130</v>
      </c>
      <c r="B87" s="5" t="s">
        <v>87</v>
      </c>
      <c r="C87" s="2">
        <f>VLOOKUP(B87:B345,Sheet4!A:B,2,0)</f>
        <v>664</v>
      </c>
      <c r="D87" s="2">
        <v>229</v>
      </c>
      <c r="E87" s="2">
        <v>370</v>
      </c>
      <c r="F87" s="2">
        <v>51</v>
      </c>
      <c r="G87" s="2">
        <v>0</v>
      </c>
      <c r="H87" s="2">
        <v>650</v>
      </c>
    </row>
    <row r="88" spans="1:8" x14ac:dyDescent="0.35">
      <c r="A88" s="2">
        <v>142</v>
      </c>
      <c r="B88" s="5" t="s">
        <v>88</v>
      </c>
      <c r="C88" s="2">
        <f>VLOOKUP(B88:B346,Sheet4!A:B,2,0)</f>
        <v>317</v>
      </c>
      <c r="D88" s="2">
        <v>75</v>
      </c>
      <c r="E88" s="2">
        <v>195</v>
      </c>
      <c r="F88" s="2">
        <v>0</v>
      </c>
      <c r="G88" s="2">
        <v>0</v>
      </c>
      <c r="H88" s="2">
        <v>279</v>
      </c>
    </row>
    <row r="89" spans="1:8" x14ac:dyDescent="0.35">
      <c r="A89" s="2">
        <v>145</v>
      </c>
      <c r="B89" s="5" t="s">
        <v>89</v>
      </c>
      <c r="C89" s="2">
        <f>VLOOKUP(B89:B347,Sheet4!A:B,2,0)</f>
        <v>228</v>
      </c>
      <c r="D89" s="2">
        <v>81</v>
      </c>
      <c r="E89" s="2">
        <v>110</v>
      </c>
      <c r="F89" s="2">
        <v>21</v>
      </c>
      <c r="G89" s="2">
        <v>0</v>
      </c>
      <c r="H89" s="2">
        <v>212</v>
      </c>
    </row>
    <row r="90" spans="1:8" x14ac:dyDescent="0.35">
      <c r="A90" s="2">
        <v>160</v>
      </c>
      <c r="B90" s="5" t="s">
        <v>90</v>
      </c>
      <c r="C90" s="2">
        <f>VLOOKUP(B90:B348,Sheet4!A:B,2,0)</f>
        <v>148</v>
      </c>
      <c r="D90" s="2">
        <v>76</v>
      </c>
      <c r="E90" s="2">
        <v>36</v>
      </c>
      <c r="F90" s="2">
        <v>0</v>
      </c>
      <c r="G90" s="2">
        <v>0</v>
      </c>
      <c r="H90" s="2">
        <v>112</v>
      </c>
    </row>
    <row r="91" spans="1:8" x14ac:dyDescent="0.35">
      <c r="A91" s="2">
        <v>3</v>
      </c>
      <c r="B91" s="5" t="s">
        <v>91</v>
      </c>
      <c r="C91" s="2">
        <f>VLOOKUP(B91:B349,Sheet4!A:B,2,0)</f>
        <v>611</v>
      </c>
      <c r="D91" s="2">
        <v>121</v>
      </c>
      <c r="E91" s="2">
        <v>404</v>
      </c>
      <c r="F91" s="2">
        <v>0</v>
      </c>
      <c r="G91" s="2">
        <v>0</v>
      </c>
      <c r="H91" s="2">
        <v>527</v>
      </c>
    </row>
    <row r="92" spans="1:8" x14ac:dyDescent="0.35">
      <c r="A92" s="2">
        <v>40</v>
      </c>
      <c r="B92" s="5" t="s">
        <v>92</v>
      </c>
      <c r="C92" s="2">
        <f>VLOOKUP(B92:B350,Sheet4!A:B,2,0)</f>
        <v>320</v>
      </c>
      <c r="D92" s="2">
        <v>12</v>
      </c>
      <c r="E92" s="2">
        <v>296</v>
      </c>
      <c r="F92" s="2">
        <v>1</v>
      </c>
      <c r="G92" s="2">
        <v>0</v>
      </c>
      <c r="H92" s="2">
        <v>310</v>
      </c>
    </row>
    <row r="93" spans="1:8" x14ac:dyDescent="0.35">
      <c r="A93" s="2">
        <v>92</v>
      </c>
      <c r="B93" s="5" t="s">
        <v>93</v>
      </c>
      <c r="C93" s="2">
        <f>VLOOKUP(B93:B351,Sheet4!A:B,2,0)</f>
        <v>1128</v>
      </c>
      <c r="D93" s="2">
        <v>231</v>
      </c>
      <c r="E93" s="2">
        <v>737</v>
      </c>
      <c r="F93" s="2">
        <v>24</v>
      </c>
      <c r="G93" s="2">
        <v>7</v>
      </c>
      <c r="H93" s="2">
        <v>1042</v>
      </c>
    </row>
    <row r="94" spans="1:8" x14ac:dyDescent="0.35">
      <c r="A94" s="2">
        <v>133</v>
      </c>
      <c r="B94" s="5" t="s">
        <v>94</v>
      </c>
      <c r="C94" s="2">
        <f>VLOOKUP(B94:B352,Sheet4!A:B,2,0)</f>
        <v>239</v>
      </c>
      <c r="D94" s="2">
        <v>71</v>
      </c>
      <c r="E94" s="2">
        <v>130</v>
      </c>
      <c r="F94" s="2">
        <v>2</v>
      </c>
      <c r="G94" s="2">
        <v>0</v>
      </c>
      <c r="H94" s="2">
        <v>204</v>
      </c>
    </row>
    <row r="95" spans="1:8" x14ac:dyDescent="0.35">
      <c r="A95" s="2">
        <v>162</v>
      </c>
      <c r="B95" s="5" t="s">
        <v>95</v>
      </c>
      <c r="C95" s="2">
        <f>VLOOKUP(B95:B353,Sheet4!A:B,2,0)</f>
        <v>409</v>
      </c>
      <c r="D95" s="2">
        <v>69</v>
      </c>
      <c r="E95" s="2">
        <v>227</v>
      </c>
      <c r="F95" s="2">
        <v>20</v>
      </c>
      <c r="G95" s="2">
        <v>0</v>
      </c>
      <c r="H95" s="2">
        <v>317</v>
      </c>
    </row>
    <row r="96" spans="1:8" x14ac:dyDescent="0.35">
      <c r="A96" s="2">
        <v>192</v>
      </c>
      <c r="B96" s="5" t="s">
        <v>96</v>
      </c>
      <c r="C96" s="2">
        <f>VLOOKUP(B96:B354,Sheet4!A:B,2,0)</f>
        <v>867</v>
      </c>
      <c r="D96" s="2">
        <v>36</v>
      </c>
      <c r="E96" s="2">
        <v>721</v>
      </c>
      <c r="F96" s="2">
        <v>2</v>
      </c>
      <c r="G96" s="2">
        <v>0</v>
      </c>
      <c r="H96" s="2">
        <v>759</v>
      </c>
    </row>
    <row r="97" spans="1:8" x14ac:dyDescent="0.35">
      <c r="A97" s="2">
        <v>16</v>
      </c>
      <c r="B97" s="5" t="s">
        <v>97</v>
      </c>
      <c r="C97" s="2">
        <f>VLOOKUP(B97:B355,Sheet4!A:B,2,0)</f>
        <v>363</v>
      </c>
      <c r="D97" s="2">
        <v>76</v>
      </c>
      <c r="E97" s="2">
        <v>232</v>
      </c>
      <c r="F97" s="2">
        <v>8</v>
      </c>
      <c r="G97" s="2">
        <v>0</v>
      </c>
      <c r="H97" s="2">
        <v>333</v>
      </c>
    </row>
    <row r="98" spans="1:8" x14ac:dyDescent="0.35">
      <c r="A98" s="2">
        <v>137</v>
      </c>
      <c r="B98" s="5" t="s">
        <v>98</v>
      </c>
      <c r="C98" s="2">
        <f>VLOOKUP(B98:B356,Sheet4!A:B,2,0)</f>
        <v>325</v>
      </c>
      <c r="D98" s="2">
        <v>41</v>
      </c>
      <c r="E98" s="2">
        <v>57</v>
      </c>
      <c r="F98" s="2">
        <v>4</v>
      </c>
      <c r="G98" s="2">
        <v>0</v>
      </c>
      <c r="H98" s="2">
        <v>102</v>
      </c>
    </row>
    <row r="99" spans="1:8" x14ac:dyDescent="0.35">
      <c r="A99" s="2">
        <v>196</v>
      </c>
      <c r="B99" s="5" t="s">
        <v>99</v>
      </c>
      <c r="C99" s="2">
        <f>VLOOKUP(B99:B357,Sheet4!A:B,2,0)</f>
        <v>1345</v>
      </c>
      <c r="D99" s="2">
        <v>843</v>
      </c>
      <c r="E99" s="2">
        <v>267</v>
      </c>
      <c r="F99" s="2">
        <v>15</v>
      </c>
      <c r="G99" s="2">
        <v>0</v>
      </c>
      <c r="H99" s="2">
        <v>1142</v>
      </c>
    </row>
    <row r="100" spans="1:8" x14ac:dyDescent="0.35">
      <c r="A100" s="2">
        <v>254</v>
      </c>
      <c r="B100" s="5" t="s">
        <v>100</v>
      </c>
      <c r="C100" s="2">
        <f>VLOOKUP(B100:B358,Sheet4!A:B,2,0)</f>
        <v>400</v>
      </c>
      <c r="D100" s="2">
        <v>125</v>
      </c>
      <c r="E100" s="2">
        <v>131</v>
      </c>
      <c r="F100" s="2">
        <v>39</v>
      </c>
      <c r="G100" s="2">
        <v>1</v>
      </c>
      <c r="H100" s="2">
        <v>314</v>
      </c>
    </row>
    <row r="101" spans="1:8" x14ac:dyDescent="0.35">
      <c r="A101" s="2">
        <v>27</v>
      </c>
      <c r="B101" s="5" t="s">
        <v>101</v>
      </c>
      <c r="C101" s="2">
        <f>VLOOKUP(B101:B359,Sheet4!A:B,2,0)</f>
        <v>197</v>
      </c>
      <c r="D101" s="2">
        <v>44</v>
      </c>
      <c r="E101" s="2">
        <v>93</v>
      </c>
      <c r="F101" s="2">
        <v>27</v>
      </c>
      <c r="G101" s="2">
        <v>0</v>
      </c>
      <c r="H101" s="2">
        <v>165</v>
      </c>
    </row>
    <row r="102" spans="1:8" x14ac:dyDescent="0.35">
      <c r="A102" s="2">
        <v>148</v>
      </c>
      <c r="B102" s="5" t="s">
        <v>102</v>
      </c>
      <c r="C102" s="2">
        <f>VLOOKUP(B102:B360,Sheet4!A:B,2,0)</f>
        <v>916</v>
      </c>
      <c r="D102" s="2">
        <v>172</v>
      </c>
      <c r="E102" s="2">
        <v>438</v>
      </c>
      <c r="F102" s="2">
        <v>38</v>
      </c>
      <c r="G102" s="2">
        <v>0</v>
      </c>
      <c r="H102" s="2">
        <v>663</v>
      </c>
    </row>
    <row r="103" spans="1:8" x14ac:dyDescent="0.35">
      <c r="A103" s="2">
        <v>250</v>
      </c>
      <c r="B103" s="5" t="s">
        <v>103</v>
      </c>
      <c r="C103" s="2">
        <f>VLOOKUP(B103:B361,Sheet4!A:B,2,0)</f>
        <v>559</v>
      </c>
      <c r="D103" s="2">
        <v>45</v>
      </c>
      <c r="E103" s="2">
        <v>437</v>
      </c>
      <c r="F103" s="2">
        <v>20</v>
      </c>
      <c r="G103" s="2">
        <v>0</v>
      </c>
      <c r="H103" s="2">
        <v>507</v>
      </c>
    </row>
    <row r="104" spans="1:8" x14ac:dyDescent="0.35">
      <c r="A104" s="2">
        <v>2</v>
      </c>
      <c r="B104" s="5" t="s">
        <v>104</v>
      </c>
      <c r="C104" s="2">
        <f>VLOOKUP(B104:B362,Sheet4!A:B,2,0)</f>
        <v>2023</v>
      </c>
      <c r="D104" s="2">
        <v>48</v>
      </c>
      <c r="E104" s="2">
        <v>493</v>
      </c>
      <c r="F104" s="2">
        <v>4</v>
      </c>
      <c r="G104" s="2">
        <v>0</v>
      </c>
      <c r="H104" s="2">
        <v>600</v>
      </c>
    </row>
    <row r="105" spans="1:8" x14ac:dyDescent="0.35">
      <c r="A105" s="2">
        <v>49</v>
      </c>
      <c r="B105" s="5" t="s">
        <v>105</v>
      </c>
      <c r="C105" s="2">
        <f>VLOOKUP(B105:B363,Sheet4!A:B,2,0)</f>
        <v>1648</v>
      </c>
      <c r="D105" s="2">
        <v>340</v>
      </c>
      <c r="E105" s="2">
        <v>290</v>
      </c>
      <c r="F105" s="2">
        <v>0</v>
      </c>
      <c r="G105" s="2">
        <v>0</v>
      </c>
      <c r="H105" s="2">
        <v>652</v>
      </c>
    </row>
    <row r="106" spans="1:8" x14ac:dyDescent="0.35">
      <c r="A106" s="2">
        <v>151</v>
      </c>
      <c r="B106" s="5" t="s">
        <v>106</v>
      </c>
      <c r="C106" s="2">
        <f>VLOOKUP(B106:B364,Sheet4!A:B,2,0)</f>
        <v>1254</v>
      </c>
      <c r="D106" s="2">
        <v>148</v>
      </c>
      <c r="E106" s="2">
        <v>76</v>
      </c>
      <c r="F106" s="2">
        <v>4</v>
      </c>
      <c r="G106" s="2">
        <v>0</v>
      </c>
      <c r="H106" s="2">
        <v>232</v>
      </c>
    </row>
    <row r="107" spans="1:8" x14ac:dyDescent="0.35">
      <c r="A107" s="2">
        <v>175</v>
      </c>
      <c r="B107" s="5" t="s">
        <v>107</v>
      </c>
      <c r="C107" s="2">
        <f>VLOOKUP(B107:B365,Sheet4!A:B,2,0)</f>
        <v>165</v>
      </c>
      <c r="D107" s="2">
        <v>31</v>
      </c>
      <c r="E107" s="2">
        <v>92</v>
      </c>
      <c r="F107" s="2">
        <v>5</v>
      </c>
      <c r="G107" s="2">
        <v>0</v>
      </c>
      <c r="H107" s="2">
        <v>128</v>
      </c>
    </row>
    <row r="108" spans="1:8" x14ac:dyDescent="0.35">
      <c r="A108" s="2">
        <v>238</v>
      </c>
      <c r="B108" s="5" t="s">
        <v>108</v>
      </c>
      <c r="C108" s="2">
        <f>VLOOKUP(B108:B366,Sheet4!A:B,2,0)</f>
        <v>506</v>
      </c>
      <c r="D108" s="2">
        <v>135</v>
      </c>
      <c r="E108" s="2">
        <v>319</v>
      </c>
      <c r="F108" s="2">
        <v>0</v>
      </c>
      <c r="G108" s="2">
        <v>0</v>
      </c>
      <c r="H108" s="2">
        <v>455</v>
      </c>
    </row>
    <row r="109" spans="1:8" x14ac:dyDescent="0.35">
      <c r="A109" s="2">
        <v>257</v>
      </c>
      <c r="B109" s="5" t="s">
        <v>109</v>
      </c>
      <c r="C109" s="2">
        <f>VLOOKUP(B109:B367,Sheet4!A:B,2,0)</f>
        <v>3794</v>
      </c>
      <c r="D109" s="2">
        <v>1596</v>
      </c>
      <c r="E109" s="2">
        <v>1867</v>
      </c>
      <c r="F109" s="2">
        <v>24</v>
      </c>
      <c r="G109" s="2">
        <v>0</v>
      </c>
      <c r="H109" s="2">
        <v>3658</v>
      </c>
    </row>
    <row r="110" spans="1:8" x14ac:dyDescent="0.35">
      <c r="A110" s="2">
        <v>42</v>
      </c>
      <c r="B110" s="5" t="s">
        <v>110</v>
      </c>
      <c r="C110" s="2">
        <f>VLOOKUP(B110:B368,Sheet4!A:B,2,0)</f>
        <v>541</v>
      </c>
      <c r="D110" s="2">
        <v>10</v>
      </c>
      <c r="E110" s="2">
        <v>390</v>
      </c>
      <c r="F110" s="2">
        <v>39</v>
      </c>
      <c r="G110" s="2">
        <v>0</v>
      </c>
      <c r="H110" s="2">
        <v>440</v>
      </c>
    </row>
    <row r="111" spans="1:8" x14ac:dyDescent="0.35">
      <c r="A111" s="2">
        <v>89</v>
      </c>
      <c r="B111" s="5" t="s">
        <v>111</v>
      </c>
      <c r="C111" s="2">
        <f>VLOOKUP(B111:B369,Sheet4!A:B,2,0)</f>
        <v>160</v>
      </c>
      <c r="D111" s="2">
        <v>85</v>
      </c>
      <c r="E111" s="2">
        <v>52</v>
      </c>
      <c r="F111" s="2">
        <v>7</v>
      </c>
      <c r="G111" s="2">
        <v>0</v>
      </c>
      <c r="H111" s="2">
        <v>332</v>
      </c>
    </row>
    <row r="112" spans="1:8" x14ac:dyDescent="0.35">
      <c r="A112" s="2">
        <v>111</v>
      </c>
      <c r="B112" s="5" t="s">
        <v>112</v>
      </c>
      <c r="C112" s="2">
        <f>VLOOKUP(B112:B370,Sheet4!A:B,2,0)</f>
        <v>358</v>
      </c>
      <c r="D112" s="2">
        <v>55</v>
      </c>
      <c r="E112" s="2">
        <v>134</v>
      </c>
      <c r="F112" s="2">
        <v>35</v>
      </c>
      <c r="G112" s="2">
        <v>0</v>
      </c>
      <c r="H112" s="2">
        <v>256</v>
      </c>
    </row>
    <row r="113" spans="1:8" x14ac:dyDescent="0.35">
      <c r="A113" s="2">
        <v>120</v>
      </c>
      <c r="B113" s="5" t="s">
        <v>113</v>
      </c>
      <c r="C113" s="2">
        <f>VLOOKUP(B113:B371,Sheet4!A:B,2,0)</f>
        <v>639</v>
      </c>
      <c r="D113" s="2">
        <v>74</v>
      </c>
      <c r="E113" s="2">
        <v>357</v>
      </c>
      <c r="F113" s="2">
        <v>19</v>
      </c>
      <c r="G113" s="2">
        <v>11</v>
      </c>
      <c r="H113" s="2">
        <v>554</v>
      </c>
    </row>
    <row r="114" spans="1:8" x14ac:dyDescent="0.35">
      <c r="A114" s="2">
        <v>153</v>
      </c>
      <c r="B114" s="5" t="s">
        <v>114</v>
      </c>
      <c r="C114" s="2">
        <f>VLOOKUP(B114:B372,Sheet4!A:B,2,0)</f>
        <v>2417</v>
      </c>
      <c r="D114" s="2">
        <v>96</v>
      </c>
      <c r="E114" s="2">
        <v>497</v>
      </c>
      <c r="F114" s="2">
        <v>25</v>
      </c>
      <c r="G114" s="2">
        <v>1</v>
      </c>
      <c r="H114" s="2">
        <v>619</v>
      </c>
    </row>
    <row r="115" spans="1:8" x14ac:dyDescent="0.35">
      <c r="A115" s="2">
        <v>198</v>
      </c>
      <c r="B115" s="5" t="s">
        <v>115</v>
      </c>
      <c r="C115" s="2">
        <f>VLOOKUP(B115:B373,Sheet4!A:B,2,0)</f>
        <v>1145</v>
      </c>
      <c r="D115" s="2">
        <v>170</v>
      </c>
      <c r="E115" s="2">
        <v>717</v>
      </c>
      <c r="F115" s="2">
        <v>26</v>
      </c>
      <c r="G115" s="2">
        <v>0</v>
      </c>
      <c r="H115" s="2">
        <v>975</v>
      </c>
    </row>
    <row r="116" spans="1:8" x14ac:dyDescent="0.35">
      <c r="A116" s="2">
        <v>12</v>
      </c>
      <c r="B116" s="5" t="s">
        <v>116</v>
      </c>
      <c r="C116" s="2">
        <f>VLOOKUP(B116:B374,Sheet4!A:B,2,0)</f>
        <v>161</v>
      </c>
      <c r="D116" s="2">
        <v>15</v>
      </c>
      <c r="E116" s="2">
        <v>111</v>
      </c>
      <c r="F116" s="2">
        <v>23</v>
      </c>
      <c r="G116" s="2">
        <v>0</v>
      </c>
      <c r="H116" s="2">
        <v>149</v>
      </c>
    </row>
    <row r="117" spans="1:8" x14ac:dyDescent="0.35">
      <c r="A117" s="2">
        <v>103</v>
      </c>
      <c r="B117" s="5" t="s">
        <v>117</v>
      </c>
      <c r="C117" s="2">
        <f>VLOOKUP(B117:B375,Sheet4!A:B,2,0)</f>
        <v>320</v>
      </c>
      <c r="D117" s="2">
        <v>64</v>
      </c>
      <c r="E117" s="2">
        <v>192</v>
      </c>
      <c r="F117" s="2">
        <v>10</v>
      </c>
      <c r="G117" s="2">
        <v>0</v>
      </c>
      <c r="H117" s="2">
        <v>274</v>
      </c>
    </row>
    <row r="118" spans="1:8" x14ac:dyDescent="0.35">
      <c r="A118" s="2">
        <v>113</v>
      </c>
      <c r="B118" s="5" t="s">
        <v>118</v>
      </c>
      <c r="C118" s="2">
        <f>VLOOKUP(B118:B376,Sheet4!A:B,2,0)</f>
        <v>161</v>
      </c>
      <c r="D118" s="2">
        <v>35</v>
      </c>
      <c r="E118" s="2">
        <v>71</v>
      </c>
      <c r="F118" s="2">
        <v>46</v>
      </c>
      <c r="G118" s="2">
        <v>9</v>
      </c>
      <c r="H118" s="2">
        <v>162</v>
      </c>
    </row>
    <row r="119" spans="1:8" x14ac:dyDescent="0.35">
      <c r="A119" s="2">
        <v>173</v>
      </c>
      <c r="B119" s="5" t="s">
        <v>119</v>
      </c>
      <c r="C119" s="2">
        <f>VLOOKUP(B119:B377,Sheet4!A:B,2,0)</f>
        <v>301</v>
      </c>
      <c r="D119" s="2">
        <v>64</v>
      </c>
      <c r="E119" s="2">
        <v>197</v>
      </c>
      <c r="F119" s="2">
        <v>12</v>
      </c>
      <c r="G119" s="2">
        <v>16</v>
      </c>
      <c r="H119" s="2">
        <v>292</v>
      </c>
    </row>
    <row r="120" spans="1:8" x14ac:dyDescent="0.35">
      <c r="A120" s="2">
        <v>223</v>
      </c>
      <c r="B120" s="5" t="s">
        <v>120</v>
      </c>
      <c r="C120" s="2">
        <f>VLOOKUP(B120:B378,Sheet4!A:B,2,0)</f>
        <v>326</v>
      </c>
      <c r="D120" s="2">
        <v>103</v>
      </c>
      <c r="E120" s="2">
        <v>157</v>
      </c>
      <c r="F120" s="2">
        <v>5</v>
      </c>
      <c r="G120" s="2">
        <v>0</v>
      </c>
      <c r="H120" s="2">
        <v>285</v>
      </c>
    </row>
    <row r="121" spans="1:8" x14ac:dyDescent="0.35">
      <c r="A121" s="2">
        <v>252</v>
      </c>
      <c r="B121" s="5" t="s">
        <v>121</v>
      </c>
      <c r="C121" s="2">
        <f>VLOOKUP(B121:B379,Sheet4!A:B,2,0)</f>
        <v>352</v>
      </c>
      <c r="D121" s="2">
        <v>32</v>
      </c>
      <c r="E121" s="2">
        <v>262</v>
      </c>
      <c r="F121" s="2">
        <v>43</v>
      </c>
      <c r="G121" s="2">
        <v>0</v>
      </c>
      <c r="H121" s="2">
        <v>338</v>
      </c>
    </row>
    <row r="122" spans="1:8" x14ac:dyDescent="0.35">
      <c r="A122" s="2">
        <v>36</v>
      </c>
      <c r="B122" s="5" t="s">
        <v>122</v>
      </c>
      <c r="C122" s="2">
        <f>VLOOKUP(B122:B380,Sheet4!A:B,2,0)</f>
        <v>814</v>
      </c>
      <c r="D122" s="2">
        <v>272</v>
      </c>
      <c r="E122" s="2">
        <v>359</v>
      </c>
      <c r="F122" s="2">
        <v>15</v>
      </c>
      <c r="G122" s="2">
        <v>2</v>
      </c>
      <c r="H122" s="2">
        <v>752</v>
      </c>
    </row>
    <row r="123" spans="1:8" x14ac:dyDescent="0.35">
      <c r="A123" s="2">
        <v>126</v>
      </c>
      <c r="B123" s="5" t="s">
        <v>123</v>
      </c>
      <c r="C123" s="2">
        <f>VLOOKUP(B123:B381,Sheet4!A:B,2,0)</f>
        <v>339</v>
      </c>
      <c r="D123" s="2">
        <v>65</v>
      </c>
      <c r="E123" s="2">
        <v>179</v>
      </c>
      <c r="F123" s="2">
        <v>9</v>
      </c>
      <c r="G123" s="2">
        <v>0</v>
      </c>
      <c r="H123" s="2">
        <v>258</v>
      </c>
    </row>
    <row r="124" spans="1:8" x14ac:dyDescent="0.35">
      <c r="A124" s="2">
        <v>144</v>
      </c>
      <c r="B124" s="5" t="s">
        <v>124</v>
      </c>
      <c r="C124" s="2">
        <f>VLOOKUP(B124:B382,Sheet4!A:B,2,0)</f>
        <v>431</v>
      </c>
      <c r="D124" s="2">
        <v>100</v>
      </c>
      <c r="E124" s="2">
        <v>156</v>
      </c>
      <c r="F124" s="2">
        <v>0</v>
      </c>
      <c r="G124" s="2">
        <v>0</v>
      </c>
      <c r="H124" s="2">
        <v>278</v>
      </c>
    </row>
    <row r="125" spans="1:8" x14ac:dyDescent="0.35">
      <c r="A125" s="2">
        <v>152</v>
      </c>
      <c r="B125" s="5" t="s">
        <v>125</v>
      </c>
      <c r="C125" s="2">
        <f>VLOOKUP(B125:B383,Sheet4!A:B,2,0)</f>
        <v>685</v>
      </c>
      <c r="D125" s="2">
        <v>250</v>
      </c>
      <c r="E125" s="2">
        <v>276</v>
      </c>
      <c r="F125" s="2">
        <v>5</v>
      </c>
      <c r="G125" s="2">
        <v>0</v>
      </c>
      <c r="H125" s="2">
        <v>589</v>
      </c>
    </row>
    <row r="126" spans="1:8" x14ac:dyDescent="0.35">
      <c r="A126" s="2">
        <v>166</v>
      </c>
      <c r="B126" s="5" t="s">
        <v>126</v>
      </c>
      <c r="C126" s="2">
        <f>VLOOKUP(B126:B384,Sheet4!A:B,2,0)</f>
        <v>858</v>
      </c>
      <c r="D126" s="2">
        <v>154</v>
      </c>
      <c r="E126" s="2">
        <v>545</v>
      </c>
      <c r="F126" s="2">
        <v>19</v>
      </c>
      <c r="G126" s="2">
        <v>1</v>
      </c>
      <c r="H126" s="2">
        <v>725</v>
      </c>
    </row>
    <row r="127" spans="1:8" x14ac:dyDescent="0.35">
      <c r="A127" s="2">
        <v>172</v>
      </c>
      <c r="B127" s="5" t="s">
        <v>127</v>
      </c>
      <c r="C127" s="2">
        <f>VLOOKUP(B127:B385,Sheet4!A:B,2,0)</f>
        <v>1051</v>
      </c>
      <c r="D127" s="2">
        <v>214</v>
      </c>
      <c r="E127" s="2">
        <v>594</v>
      </c>
      <c r="F127" s="2">
        <v>33</v>
      </c>
      <c r="G127" s="2">
        <v>25</v>
      </c>
      <c r="H127" s="2">
        <v>940</v>
      </c>
    </row>
    <row r="128" spans="1:8" x14ac:dyDescent="0.35">
      <c r="A128" s="2">
        <v>174</v>
      </c>
      <c r="B128" s="5" t="s">
        <v>128</v>
      </c>
      <c r="C128" s="2">
        <f>VLOOKUP(B128:B386,Sheet4!A:B,2,0)</f>
        <v>200</v>
      </c>
      <c r="D128" s="2">
        <v>23</v>
      </c>
      <c r="E128" s="2">
        <v>145</v>
      </c>
      <c r="F128" s="2">
        <v>13</v>
      </c>
      <c r="G128" s="2">
        <v>0</v>
      </c>
      <c r="H128" s="2">
        <v>181</v>
      </c>
    </row>
    <row r="129" spans="1:8" x14ac:dyDescent="0.35">
      <c r="A129" s="2">
        <v>177</v>
      </c>
      <c r="B129" s="5" t="s">
        <v>129</v>
      </c>
      <c r="C129" s="2">
        <f>VLOOKUP(B129:B387,Sheet4!A:B,2,0)</f>
        <v>350</v>
      </c>
      <c r="D129" s="2">
        <v>56</v>
      </c>
      <c r="E129" s="2">
        <v>147</v>
      </c>
      <c r="F129" s="2">
        <v>30</v>
      </c>
      <c r="G129" s="2">
        <v>0</v>
      </c>
      <c r="H129" s="2">
        <v>235</v>
      </c>
    </row>
    <row r="130" spans="1:8" x14ac:dyDescent="0.35">
      <c r="A130" s="2">
        <v>219</v>
      </c>
      <c r="B130" s="5" t="s">
        <v>130</v>
      </c>
      <c r="C130" s="2">
        <f>VLOOKUP(B130:B388,Sheet4!A:B,2,0)</f>
        <v>629</v>
      </c>
      <c r="D130" s="2">
        <v>155</v>
      </c>
      <c r="E130" s="2">
        <v>262</v>
      </c>
      <c r="F130" s="2">
        <v>14</v>
      </c>
      <c r="G130" s="2">
        <v>0</v>
      </c>
      <c r="H130" s="2">
        <v>440</v>
      </c>
    </row>
    <row r="131" spans="1:8" x14ac:dyDescent="0.35">
      <c r="A131" s="2">
        <v>220</v>
      </c>
      <c r="B131" s="5" t="s">
        <v>131</v>
      </c>
      <c r="C131" s="2">
        <f>VLOOKUP(B131:B389,Sheet4!A:B,2,0)</f>
        <v>545</v>
      </c>
      <c r="D131" s="2">
        <v>127</v>
      </c>
      <c r="E131" s="2">
        <v>235</v>
      </c>
      <c r="F131" s="2">
        <v>43</v>
      </c>
      <c r="G131" s="2">
        <v>3</v>
      </c>
      <c r="H131" s="2">
        <v>420</v>
      </c>
    </row>
    <row r="132" spans="1:8" x14ac:dyDescent="0.35">
      <c r="A132" s="2">
        <v>225</v>
      </c>
      <c r="B132" s="5" t="s">
        <v>132</v>
      </c>
      <c r="C132" s="2">
        <f>VLOOKUP(B132:B390,Sheet4!A:B,2,0)</f>
        <v>512</v>
      </c>
      <c r="D132" s="2">
        <v>23</v>
      </c>
      <c r="E132" s="2">
        <v>384</v>
      </c>
      <c r="F132" s="2">
        <v>4</v>
      </c>
      <c r="G132" s="2">
        <v>0</v>
      </c>
      <c r="H132" s="2">
        <v>412</v>
      </c>
    </row>
    <row r="133" spans="1:8" x14ac:dyDescent="0.35">
      <c r="A133" s="2">
        <v>13</v>
      </c>
      <c r="B133" s="5" t="s">
        <v>133</v>
      </c>
      <c r="C133" s="2">
        <f>VLOOKUP(B133:B391,Sheet4!A:B,2,0)</f>
        <v>865</v>
      </c>
      <c r="D133" s="2">
        <v>65</v>
      </c>
      <c r="E133" s="2">
        <v>663</v>
      </c>
      <c r="F133" s="2">
        <v>12</v>
      </c>
      <c r="G133" s="2">
        <v>0</v>
      </c>
      <c r="H133" s="2">
        <v>741</v>
      </c>
    </row>
    <row r="134" spans="1:8" x14ac:dyDescent="0.35">
      <c r="A134" s="2">
        <v>50</v>
      </c>
      <c r="B134" s="5" t="s">
        <v>134</v>
      </c>
      <c r="C134" s="2">
        <f>VLOOKUP(B134:B392,Sheet4!A:B,2,0)</f>
        <v>720</v>
      </c>
      <c r="D134" s="2">
        <v>249</v>
      </c>
      <c r="E134" s="2">
        <v>387</v>
      </c>
      <c r="F134" s="2">
        <v>1</v>
      </c>
      <c r="G134" s="2">
        <v>0</v>
      </c>
      <c r="H134" s="2">
        <v>637</v>
      </c>
    </row>
    <row r="135" spans="1:8" x14ac:dyDescent="0.35">
      <c r="A135" s="2">
        <v>63</v>
      </c>
      <c r="B135" s="5" t="s">
        <v>135</v>
      </c>
      <c r="C135" s="2">
        <f>VLOOKUP(B135:B393,Sheet4!A:B,2,0)</f>
        <v>85</v>
      </c>
      <c r="D135" s="2">
        <v>39</v>
      </c>
      <c r="E135" s="2">
        <v>46</v>
      </c>
      <c r="F135" s="2">
        <v>0</v>
      </c>
      <c r="G135" s="2">
        <v>0</v>
      </c>
      <c r="H135" s="2">
        <v>85</v>
      </c>
    </row>
    <row r="136" spans="1:8" x14ac:dyDescent="0.35">
      <c r="A136" s="2">
        <v>81</v>
      </c>
      <c r="B136" s="5" t="s">
        <v>136</v>
      </c>
      <c r="C136" s="2">
        <f>VLOOKUP(B136:B394,Sheet4!A:B,2,0)</f>
        <v>35</v>
      </c>
      <c r="D136" s="2">
        <v>23</v>
      </c>
      <c r="E136" s="2">
        <v>10</v>
      </c>
      <c r="F136" s="2">
        <v>1</v>
      </c>
      <c r="G136" s="2">
        <v>0</v>
      </c>
      <c r="H136" s="2">
        <v>34</v>
      </c>
    </row>
    <row r="137" spans="1:8" x14ac:dyDescent="0.35">
      <c r="A137" s="2">
        <v>91</v>
      </c>
      <c r="B137" s="5" t="s">
        <v>137</v>
      </c>
      <c r="C137" s="2">
        <f>VLOOKUP(B137:B395,Sheet4!A:B,2,0)</f>
        <v>333</v>
      </c>
      <c r="D137" s="2">
        <v>164</v>
      </c>
      <c r="E137" s="2">
        <v>35</v>
      </c>
      <c r="F137" s="2">
        <v>2</v>
      </c>
      <c r="G137" s="2">
        <v>0</v>
      </c>
      <c r="H137" s="2">
        <v>220</v>
      </c>
    </row>
    <row r="138" spans="1:8" x14ac:dyDescent="0.35">
      <c r="A138" s="2">
        <v>99</v>
      </c>
      <c r="B138" s="5" t="s">
        <v>138</v>
      </c>
      <c r="C138" s="2">
        <f>VLOOKUP(B138:B396,Sheet4!A:B,2,0)</f>
        <v>260</v>
      </c>
      <c r="D138" s="2">
        <v>25</v>
      </c>
      <c r="E138" s="2">
        <v>140</v>
      </c>
      <c r="F138" s="2">
        <v>0</v>
      </c>
      <c r="G138" s="2">
        <v>0</v>
      </c>
      <c r="H138" s="2">
        <v>168</v>
      </c>
    </row>
    <row r="139" spans="1:8" x14ac:dyDescent="0.35">
      <c r="A139" s="2">
        <v>105</v>
      </c>
      <c r="B139" s="5" t="s">
        <v>139</v>
      </c>
      <c r="C139" s="2">
        <f>VLOOKUP(B139:B397,Sheet4!A:B,2,0)</f>
        <v>218</v>
      </c>
      <c r="D139" s="2">
        <v>42</v>
      </c>
      <c r="E139" s="2">
        <v>154</v>
      </c>
      <c r="F139" s="2">
        <v>21</v>
      </c>
      <c r="G139" s="2">
        <v>3</v>
      </c>
      <c r="H139" s="2">
        <v>232</v>
      </c>
    </row>
    <row r="140" spans="1:8" x14ac:dyDescent="0.35">
      <c r="A140" s="2">
        <v>108</v>
      </c>
      <c r="B140" s="5" t="s">
        <v>140</v>
      </c>
      <c r="C140" s="2">
        <f>VLOOKUP(B140:B398,Sheet4!A:B,2,0)</f>
        <v>56</v>
      </c>
      <c r="D140" s="2">
        <v>8</v>
      </c>
      <c r="E140" s="2">
        <v>37</v>
      </c>
      <c r="F140" s="2">
        <v>9</v>
      </c>
      <c r="G140" s="2">
        <v>0</v>
      </c>
      <c r="H140" s="2">
        <v>54</v>
      </c>
    </row>
    <row r="141" spans="1:8" x14ac:dyDescent="0.35">
      <c r="A141" s="2">
        <v>179</v>
      </c>
      <c r="B141" s="5" t="s">
        <v>141</v>
      </c>
      <c r="C141" s="2">
        <f>VLOOKUP(B141:B399,Sheet4!A:B,2,0)</f>
        <v>572</v>
      </c>
      <c r="D141" s="2">
        <v>88</v>
      </c>
      <c r="E141" s="2">
        <v>405</v>
      </c>
      <c r="F141" s="2">
        <v>19</v>
      </c>
      <c r="G141" s="2">
        <v>0</v>
      </c>
      <c r="H141" s="2">
        <v>519</v>
      </c>
    </row>
    <row r="142" spans="1:8" x14ac:dyDescent="0.35">
      <c r="A142" s="2">
        <v>191</v>
      </c>
      <c r="B142" s="5" t="s">
        <v>142</v>
      </c>
      <c r="C142" s="2">
        <f>VLOOKUP(B142:B400,Sheet4!A:B,2,0)</f>
        <v>46</v>
      </c>
      <c r="D142" s="2">
        <v>9</v>
      </c>
      <c r="E142" s="2">
        <v>33</v>
      </c>
      <c r="F142" s="2">
        <v>0</v>
      </c>
      <c r="G142" s="2">
        <v>0</v>
      </c>
      <c r="H142" s="2">
        <v>42</v>
      </c>
    </row>
    <row r="143" spans="1:8" x14ac:dyDescent="0.35">
      <c r="A143" s="2">
        <v>197</v>
      </c>
      <c r="B143" s="5" t="s">
        <v>143</v>
      </c>
      <c r="C143" s="2">
        <f>VLOOKUP(B143:B401,Sheet4!A:B,2,0)</f>
        <v>648</v>
      </c>
      <c r="D143" s="2">
        <v>80</v>
      </c>
      <c r="E143" s="2">
        <v>321</v>
      </c>
      <c r="F143" s="2">
        <v>63</v>
      </c>
      <c r="G143" s="2">
        <v>0</v>
      </c>
      <c r="H143" s="2">
        <v>472</v>
      </c>
    </row>
    <row r="144" spans="1:8" x14ac:dyDescent="0.35">
      <c r="A144" s="2">
        <v>206</v>
      </c>
      <c r="B144" s="5" t="s">
        <v>144</v>
      </c>
      <c r="C144" s="2">
        <f>VLOOKUP(B144:B402,Sheet4!A:B,2,0)</f>
        <v>399</v>
      </c>
      <c r="D144" s="2">
        <v>78</v>
      </c>
      <c r="E144" s="2">
        <v>293</v>
      </c>
      <c r="F144" s="2">
        <v>0</v>
      </c>
      <c r="G144" s="2">
        <v>0</v>
      </c>
      <c r="H144" s="2">
        <v>371</v>
      </c>
    </row>
    <row r="145" spans="1:8" x14ac:dyDescent="0.35">
      <c r="A145" s="2">
        <v>208</v>
      </c>
      <c r="B145" s="5" t="s">
        <v>145</v>
      </c>
      <c r="C145" s="2">
        <f>VLOOKUP(B145:B403,Sheet4!A:B,2,0)</f>
        <v>99</v>
      </c>
      <c r="D145" s="2">
        <v>4</v>
      </c>
      <c r="E145" s="2">
        <v>56</v>
      </c>
      <c r="F145" s="2">
        <v>29</v>
      </c>
      <c r="G145" s="2">
        <v>0</v>
      </c>
      <c r="H145" s="2">
        <v>89</v>
      </c>
    </row>
    <row r="146" spans="1:8" x14ac:dyDescent="0.35">
      <c r="A146" s="2">
        <v>226</v>
      </c>
      <c r="B146" s="5" t="s">
        <v>146</v>
      </c>
      <c r="C146" s="2">
        <f>VLOOKUP(B146:B404,Sheet4!A:B,2,0)</f>
        <v>135</v>
      </c>
      <c r="D146" s="2">
        <v>5</v>
      </c>
      <c r="E146" s="2">
        <v>80</v>
      </c>
      <c r="F146" s="2">
        <v>15</v>
      </c>
      <c r="G146" s="2">
        <v>0</v>
      </c>
      <c r="H146" s="2">
        <v>102</v>
      </c>
    </row>
    <row r="147" spans="1:8" x14ac:dyDescent="0.35">
      <c r="A147" s="2">
        <v>235</v>
      </c>
      <c r="B147" s="5" t="s">
        <v>147</v>
      </c>
      <c r="C147" s="2">
        <f>VLOOKUP(B147:B405,Sheet4!A:B,2,0)</f>
        <v>254</v>
      </c>
      <c r="D147" s="2">
        <v>22</v>
      </c>
      <c r="E147" s="2">
        <v>113</v>
      </c>
      <c r="F147" s="2">
        <v>39</v>
      </c>
      <c r="G147" s="2">
        <v>9</v>
      </c>
      <c r="H147" s="2">
        <v>184</v>
      </c>
    </row>
    <row r="148" spans="1:8" x14ac:dyDescent="0.35">
      <c r="A148" s="2">
        <v>106</v>
      </c>
      <c r="B148" s="5" t="s">
        <v>148</v>
      </c>
      <c r="C148" s="2">
        <f>VLOOKUP(B148:B406,Sheet4!A:B,2,0)</f>
        <v>750</v>
      </c>
      <c r="D148" s="2">
        <v>690</v>
      </c>
      <c r="E148" s="2">
        <v>43</v>
      </c>
      <c r="F148" s="2">
        <v>9</v>
      </c>
      <c r="G148" s="2">
        <v>0</v>
      </c>
      <c r="H148" s="2">
        <v>743</v>
      </c>
    </row>
    <row r="149" spans="1:8" x14ac:dyDescent="0.35">
      <c r="A149" s="2">
        <v>186</v>
      </c>
      <c r="B149" s="5" t="s">
        <v>149</v>
      </c>
      <c r="C149" s="2">
        <f>VLOOKUP(B149:B407,Sheet4!A:B,2,0)</f>
        <v>809</v>
      </c>
      <c r="D149" s="2">
        <v>191</v>
      </c>
      <c r="E149" s="2">
        <v>344</v>
      </c>
      <c r="F149" s="2">
        <v>139</v>
      </c>
      <c r="G149" s="2">
        <v>5</v>
      </c>
      <c r="H149" s="2">
        <v>681</v>
      </c>
    </row>
    <row r="150" spans="1:8" x14ac:dyDescent="0.35">
      <c r="A150" s="2">
        <v>207</v>
      </c>
      <c r="B150" s="5" t="s">
        <v>150</v>
      </c>
      <c r="C150" s="2">
        <f>VLOOKUP(B150:B408,Sheet4!A:B,2,0)</f>
        <v>533</v>
      </c>
      <c r="D150" s="2">
        <v>140</v>
      </c>
      <c r="E150" s="2">
        <v>283</v>
      </c>
      <c r="F150" s="2">
        <v>21</v>
      </c>
      <c r="G150" s="2">
        <v>0</v>
      </c>
      <c r="H150" s="2">
        <v>460</v>
      </c>
    </row>
    <row r="151" spans="1:8" x14ac:dyDescent="0.35">
      <c r="A151" s="2">
        <v>258</v>
      </c>
      <c r="B151" s="5" t="s">
        <v>151</v>
      </c>
      <c r="C151" s="2">
        <f>VLOOKUP(B151:B409,Sheet4!A:B,2,0)</f>
        <v>270</v>
      </c>
      <c r="D151" s="2">
        <v>59</v>
      </c>
      <c r="E151" s="2">
        <v>66</v>
      </c>
      <c r="F151" s="2">
        <v>63</v>
      </c>
      <c r="G151" s="2">
        <v>1</v>
      </c>
      <c r="H151" s="2">
        <v>195</v>
      </c>
    </row>
    <row r="152" spans="1:8" x14ac:dyDescent="0.35">
      <c r="A152" s="2">
        <v>15</v>
      </c>
      <c r="B152" s="5" t="s">
        <v>152</v>
      </c>
      <c r="C152" s="2">
        <f>VLOOKUP(B152:B410,Sheet4!A:B,2,0)</f>
        <v>815</v>
      </c>
      <c r="D152" s="2">
        <v>69</v>
      </c>
      <c r="E152" s="2">
        <v>516</v>
      </c>
      <c r="F152" s="2">
        <v>10</v>
      </c>
      <c r="G152" s="2">
        <v>80</v>
      </c>
      <c r="H152" s="2">
        <v>677</v>
      </c>
    </row>
    <row r="153" spans="1:8" x14ac:dyDescent="0.35">
      <c r="A153" s="2">
        <v>44</v>
      </c>
      <c r="B153" s="5" t="s">
        <v>153</v>
      </c>
      <c r="C153" s="2">
        <f>VLOOKUP(B153:B411,Sheet4!A:B,2,0)</f>
        <v>508</v>
      </c>
      <c r="D153" s="2">
        <v>147</v>
      </c>
      <c r="E153" s="2">
        <v>151</v>
      </c>
      <c r="F153" s="2">
        <v>21</v>
      </c>
      <c r="G153" s="2">
        <v>0</v>
      </c>
      <c r="H153" s="2">
        <v>321</v>
      </c>
    </row>
    <row r="154" spans="1:8" x14ac:dyDescent="0.35">
      <c r="A154" s="2">
        <v>64</v>
      </c>
      <c r="B154" s="5" t="s">
        <v>154</v>
      </c>
      <c r="C154" s="2">
        <f>VLOOKUP(B154:B412,Sheet4!A:B,2,0)</f>
        <v>170</v>
      </c>
      <c r="D154" s="2">
        <v>54</v>
      </c>
      <c r="E154" s="2">
        <v>81</v>
      </c>
      <c r="F154" s="2">
        <v>14</v>
      </c>
      <c r="G154" s="2">
        <v>0</v>
      </c>
      <c r="H154" s="2">
        <v>154</v>
      </c>
    </row>
    <row r="155" spans="1:8" x14ac:dyDescent="0.35">
      <c r="A155" s="2">
        <v>150</v>
      </c>
      <c r="B155" s="5" t="s">
        <v>155</v>
      </c>
      <c r="C155" s="2">
        <f>VLOOKUP(B155:B413,Sheet4!A:B,2,0)</f>
        <v>524</v>
      </c>
      <c r="D155" s="2">
        <v>192</v>
      </c>
      <c r="E155" s="2">
        <v>162</v>
      </c>
      <c r="F155" s="2">
        <v>13</v>
      </c>
      <c r="G155" s="2">
        <v>0</v>
      </c>
      <c r="H155" s="2">
        <v>393</v>
      </c>
    </row>
    <row r="156" spans="1:8" x14ac:dyDescent="0.35">
      <c r="A156" s="2">
        <v>180</v>
      </c>
      <c r="B156" s="5" t="s">
        <v>156</v>
      </c>
      <c r="C156" s="2">
        <f>VLOOKUP(B156:B414,Sheet4!A:B,2,0)</f>
        <v>82</v>
      </c>
      <c r="D156" s="2">
        <v>27</v>
      </c>
      <c r="E156" s="2">
        <v>40</v>
      </c>
      <c r="F156" s="2">
        <v>2</v>
      </c>
      <c r="G156" s="2">
        <v>0</v>
      </c>
      <c r="H156" s="2">
        <v>70</v>
      </c>
    </row>
    <row r="157" spans="1:8" x14ac:dyDescent="0.35">
      <c r="A157" s="2">
        <v>210</v>
      </c>
      <c r="B157" s="5" t="s">
        <v>157</v>
      </c>
      <c r="C157" s="2">
        <f>VLOOKUP(B157:B415,Sheet4!A:B,2,0)</f>
        <v>1570</v>
      </c>
      <c r="D157" s="2">
        <v>415</v>
      </c>
      <c r="E157" s="2">
        <v>735</v>
      </c>
      <c r="F157" s="2">
        <v>25</v>
      </c>
      <c r="G157" s="2">
        <v>0</v>
      </c>
      <c r="H157" s="2">
        <v>1354</v>
      </c>
    </row>
    <row r="158" spans="1:8" x14ac:dyDescent="0.35">
      <c r="A158" s="2">
        <v>260</v>
      </c>
      <c r="B158" s="5" t="s">
        <v>158</v>
      </c>
      <c r="C158" s="2">
        <f>VLOOKUP(B158:B416,Sheet4!A:B,2,0)</f>
        <v>415</v>
      </c>
      <c r="D158" s="2">
        <v>19</v>
      </c>
      <c r="E158" s="2">
        <v>354</v>
      </c>
      <c r="F158" s="2">
        <v>17</v>
      </c>
      <c r="G158" s="2">
        <v>0</v>
      </c>
      <c r="H158" s="2">
        <v>393</v>
      </c>
    </row>
    <row r="159" spans="1:8" x14ac:dyDescent="0.35">
      <c r="A159" s="2">
        <v>21</v>
      </c>
      <c r="B159" s="5" t="s">
        <v>159</v>
      </c>
      <c r="C159" s="2">
        <f>VLOOKUP(B159:B417,Sheet4!A:B,2,0)</f>
        <v>179</v>
      </c>
      <c r="D159" s="2">
        <v>88</v>
      </c>
      <c r="E159" s="2">
        <v>28</v>
      </c>
      <c r="F159" s="2">
        <v>1</v>
      </c>
      <c r="G159" s="2">
        <v>0</v>
      </c>
      <c r="H159" s="2">
        <v>117</v>
      </c>
    </row>
    <row r="160" spans="1:8" x14ac:dyDescent="0.35">
      <c r="A160" s="2">
        <v>32</v>
      </c>
      <c r="B160" s="5" t="s">
        <v>160</v>
      </c>
      <c r="C160" s="2">
        <f>VLOOKUP(B160:B418,Sheet4!A:B,2,0)</f>
        <v>118</v>
      </c>
      <c r="D160" s="2">
        <v>27</v>
      </c>
      <c r="E160" s="2">
        <v>62</v>
      </c>
      <c r="F160" s="2">
        <v>16</v>
      </c>
      <c r="G160" s="2">
        <v>0</v>
      </c>
      <c r="H160" s="2">
        <v>115</v>
      </c>
    </row>
    <row r="161" spans="1:8" x14ac:dyDescent="0.35">
      <c r="A161" s="2">
        <v>52</v>
      </c>
      <c r="B161" s="5" t="s">
        <v>161</v>
      </c>
      <c r="C161" s="2">
        <f>VLOOKUP(B161:B419,Sheet4!A:B,2,0)</f>
        <v>816</v>
      </c>
      <c r="D161" s="2">
        <v>523</v>
      </c>
      <c r="E161" s="2">
        <v>250</v>
      </c>
      <c r="F161" s="2">
        <v>2</v>
      </c>
      <c r="G161" s="2">
        <v>0</v>
      </c>
      <c r="H161" s="2">
        <v>782</v>
      </c>
    </row>
    <row r="162" spans="1:8" x14ac:dyDescent="0.35">
      <c r="A162" s="2">
        <v>53</v>
      </c>
      <c r="B162" s="5" t="s">
        <v>162</v>
      </c>
      <c r="C162" s="2">
        <f>VLOOKUP(B162:B420,Sheet4!A:B,2,0)</f>
        <v>179</v>
      </c>
      <c r="D162" s="2">
        <v>39</v>
      </c>
      <c r="E162" s="2">
        <v>76</v>
      </c>
      <c r="F162" s="2">
        <v>11</v>
      </c>
      <c r="G162" s="2">
        <v>3</v>
      </c>
      <c r="H162" s="2">
        <v>129</v>
      </c>
    </row>
    <row r="163" spans="1:8" x14ac:dyDescent="0.35">
      <c r="A163" s="2">
        <v>77</v>
      </c>
      <c r="B163" s="5" t="s">
        <v>163</v>
      </c>
      <c r="C163" s="2">
        <f>VLOOKUP(B163:B421,Sheet4!A:B,2,0)</f>
        <v>131</v>
      </c>
      <c r="D163" s="2">
        <v>22</v>
      </c>
      <c r="E163" s="2">
        <v>83</v>
      </c>
      <c r="F163" s="2">
        <v>21</v>
      </c>
      <c r="G163" s="2">
        <v>0</v>
      </c>
      <c r="H163" s="2">
        <v>129</v>
      </c>
    </row>
    <row r="164" spans="1:8" x14ac:dyDescent="0.35">
      <c r="A164" s="2">
        <v>84</v>
      </c>
      <c r="B164" s="5" t="s">
        <v>164</v>
      </c>
      <c r="C164" s="2">
        <f>VLOOKUP(B164:B422,Sheet4!A:B,2,0)</f>
        <v>524</v>
      </c>
      <c r="D164" s="2">
        <v>129</v>
      </c>
      <c r="E164" s="2">
        <v>281</v>
      </c>
      <c r="F164" s="2">
        <v>18</v>
      </c>
      <c r="G164" s="2">
        <v>0</v>
      </c>
      <c r="H164" s="2">
        <v>446</v>
      </c>
    </row>
    <row r="165" spans="1:8" x14ac:dyDescent="0.35">
      <c r="A165" s="2">
        <v>134</v>
      </c>
      <c r="B165" s="5" t="s">
        <v>165</v>
      </c>
      <c r="C165" s="2">
        <f>VLOOKUP(B165:B423,Sheet4!A:B,2,0)</f>
        <v>63</v>
      </c>
      <c r="D165" s="2">
        <v>18</v>
      </c>
      <c r="E165" s="2">
        <v>23</v>
      </c>
      <c r="F165" s="2">
        <v>15</v>
      </c>
      <c r="G165" s="2">
        <v>0</v>
      </c>
      <c r="H165" s="2">
        <v>59</v>
      </c>
    </row>
    <row r="166" spans="1:8" x14ac:dyDescent="0.35">
      <c r="A166" s="2">
        <v>136</v>
      </c>
      <c r="B166" s="5" t="s">
        <v>166</v>
      </c>
      <c r="C166" s="2">
        <f>VLOOKUP(B166:B424,Sheet4!A:B,2,0)</f>
        <v>224</v>
      </c>
      <c r="D166" s="2">
        <v>12</v>
      </c>
      <c r="E166" s="2">
        <v>87</v>
      </c>
      <c r="F166" s="2">
        <v>9</v>
      </c>
      <c r="G166" s="2">
        <v>0</v>
      </c>
      <c r="H166" s="2">
        <v>108</v>
      </c>
    </row>
    <row r="167" spans="1:8" x14ac:dyDescent="0.35">
      <c r="A167" s="2">
        <v>159</v>
      </c>
      <c r="B167" s="5" t="s">
        <v>167</v>
      </c>
      <c r="C167" s="2">
        <f>VLOOKUP(B167:B425,Sheet4!A:B,2,0)</f>
        <v>445</v>
      </c>
      <c r="D167" s="2">
        <v>104</v>
      </c>
      <c r="E167" s="2">
        <v>111</v>
      </c>
      <c r="F167" s="2">
        <v>15</v>
      </c>
      <c r="G167" s="2">
        <v>0</v>
      </c>
      <c r="H167" s="2">
        <v>233</v>
      </c>
    </row>
    <row r="168" spans="1:8" x14ac:dyDescent="0.35">
      <c r="A168" s="2">
        <v>164</v>
      </c>
      <c r="B168" s="5" t="s">
        <v>168</v>
      </c>
      <c r="C168" s="2">
        <f>VLOOKUP(B168:B426,Sheet4!A:B,2,0)</f>
        <v>523</v>
      </c>
      <c r="D168" s="2">
        <v>173</v>
      </c>
      <c r="E168" s="2">
        <v>255</v>
      </c>
      <c r="F168" s="2">
        <v>13</v>
      </c>
      <c r="G168" s="2">
        <v>0</v>
      </c>
      <c r="H168" s="2">
        <v>446</v>
      </c>
    </row>
    <row r="169" spans="1:8" x14ac:dyDescent="0.35">
      <c r="A169" s="2">
        <v>170</v>
      </c>
      <c r="B169" s="5" t="s">
        <v>169</v>
      </c>
      <c r="C169" s="2">
        <f>VLOOKUP(B169:B427,Sheet4!A:B,2,0)</f>
        <v>126</v>
      </c>
      <c r="D169" s="2">
        <v>9</v>
      </c>
      <c r="E169" s="2">
        <v>11</v>
      </c>
      <c r="F169" s="2">
        <v>3</v>
      </c>
      <c r="G169" s="2">
        <v>0</v>
      </c>
      <c r="H169" s="2">
        <v>24</v>
      </c>
    </row>
    <row r="170" spans="1:8" x14ac:dyDescent="0.35">
      <c r="A170" s="2">
        <v>183</v>
      </c>
      <c r="B170" s="5" t="s">
        <v>170</v>
      </c>
      <c r="C170" s="2">
        <f>VLOOKUP(B170:B428,Sheet4!A:B,2,0)</f>
        <v>515</v>
      </c>
      <c r="D170" s="2">
        <v>178</v>
      </c>
      <c r="E170" s="2">
        <v>288</v>
      </c>
      <c r="F170" s="2">
        <v>23</v>
      </c>
      <c r="G170" s="2">
        <v>0</v>
      </c>
      <c r="H170" s="2">
        <v>496</v>
      </c>
    </row>
    <row r="171" spans="1:8" x14ac:dyDescent="0.35">
      <c r="A171" s="2">
        <v>190</v>
      </c>
      <c r="B171" s="5" t="s">
        <v>171</v>
      </c>
      <c r="C171" s="2">
        <f>VLOOKUP(B171:B429,Sheet4!A:B,2,0)</f>
        <v>107</v>
      </c>
      <c r="D171" s="2">
        <v>20</v>
      </c>
      <c r="E171" s="2">
        <v>65</v>
      </c>
      <c r="F171" s="2">
        <v>2</v>
      </c>
      <c r="G171" s="2">
        <v>0</v>
      </c>
      <c r="H171" s="2">
        <v>88</v>
      </c>
    </row>
    <row r="172" spans="1:8" x14ac:dyDescent="0.35">
      <c r="A172" s="2">
        <v>195</v>
      </c>
      <c r="B172" s="5" t="s">
        <v>172</v>
      </c>
      <c r="C172" s="2">
        <f>VLOOKUP(B172:B430,Sheet4!A:B,2,0)</f>
        <v>72</v>
      </c>
      <c r="D172" s="2">
        <v>10</v>
      </c>
      <c r="E172" s="2">
        <v>40</v>
      </c>
      <c r="F172" s="2">
        <v>22</v>
      </c>
      <c r="G172" s="2">
        <v>0</v>
      </c>
      <c r="H172" s="2">
        <v>72</v>
      </c>
    </row>
    <row r="173" spans="1:8" x14ac:dyDescent="0.35">
      <c r="A173" s="2">
        <v>199</v>
      </c>
      <c r="B173" s="5" t="s">
        <v>173</v>
      </c>
      <c r="C173" s="2">
        <f>VLOOKUP(B173:B431,Sheet4!A:B,2,0)</f>
        <v>64</v>
      </c>
      <c r="D173" s="2">
        <v>20</v>
      </c>
      <c r="E173" s="2">
        <v>37</v>
      </c>
      <c r="F173" s="2">
        <v>3</v>
      </c>
      <c r="G173" s="2">
        <v>1</v>
      </c>
      <c r="H173" s="2">
        <v>61</v>
      </c>
    </row>
    <row r="174" spans="1:8" x14ac:dyDescent="0.35">
      <c r="A174" s="2">
        <v>203</v>
      </c>
      <c r="B174" s="5" t="s">
        <v>174</v>
      </c>
      <c r="C174" s="2">
        <f>VLOOKUP(B174:B432,Sheet4!A:B,2,0)</f>
        <v>352</v>
      </c>
      <c r="D174" s="2">
        <v>137</v>
      </c>
      <c r="E174" s="2">
        <v>147</v>
      </c>
      <c r="F174" s="2">
        <v>0</v>
      </c>
      <c r="G174" s="2">
        <v>0</v>
      </c>
      <c r="H174" s="2">
        <v>303</v>
      </c>
    </row>
    <row r="175" spans="1:8" x14ac:dyDescent="0.35">
      <c r="A175" s="2">
        <v>222</v>
      </c>
      <c r="B175" s="5" t="s">
        <v>175</v>
      </c>
      <c r="C175" s="2">
        <f>VLOOKUP(B175:B433,Sheet4!A:B,2,0)</f>
        <v>124</v>
      </c>
      <c r="D175" s="2">
        <v>24</v>
      </c>
      <c r="E175" s="2">
        <v>47</v>
      </c>
      <c r="F175" s="2">
        <v>49</v>
      </c>
      <c r="G175" s="2">
        <v>0</v>
      </c>
      <c r="H175" s="2">
        <v>122</v>
      </c>
    </row>
    <row r="176" spans="1:8" x14ac:dyDescent="0.35">
      <c r="A176" s="2">
        <v>9</v>
      </c>
      <c r="B176" s="5" t="s">
        <v>176</v>
      </c>
      <c r="C176" s="2">
        <f>VLOOKUP(B176:B434,Sheet4!A:B,2,0)</f>
        <v>329</v>
      </c>
      <c r="D176" s="2">
        <v>118</v>
      </c>
      <c r="E176" s="2">
        <v>116</v>
      </c>
      <c r="F176" s="2">
        <v>37</v>
      </c>
      <c r="G176" s="2">
        <v>0</v>
      </c>
      <c r="H176" s="2">
        <v>272</v>
      </c>
    </row>
    <row r="177" spans="1:8" x14ac:dyDescent="0.35">
      <c r="A177" s="2">
        <v>61</v>
      </c>
      <c r="B177" s="5" t="s">
        <v>177</v>
      </c>
      <c r="C177" s="2">
        <f>VLOOKUP(B177:B435,Sheet4!A:B,2,0)</f>
        <v>1188</v>
      </c>
      <c r="D177" s="2">
        <v>2</v>
      </c>
      <c r="E177" s="2">
        <v>133</v>
      </c>
      <c r="F177" s="2">
        <v>10</v>
      </c>
      <c r="G177" s="2">
        <v>0</v>
      </c>
      <c r="H177" s="2">
        <v>146</v>
      </c>
    </row>
    <row r="178" spans="1:8" x14ac:dyDescent="0.35">
      <c r="A178" s="2">
        <v>74</v>
      </c>
      <c r="B178" s="5" t="s">
        <v>178</v>
      </c>
      <c r="C178" s="2">
        <f>VLOOKUP(B178:B436,Sheet4!A:B,2,0)</f>
        <v>135</v>
      </c>
      <c r="D178" s="2">
        <v>223</v>
      </c>
      <c r="E178" s="2">
        <v>72</v>
      </c>
      <c r="F178" s="2">
        <v>9</v>
      </c>
      <c r="G178" s="2">
        <v>8</v>
      </c>
      <c r="H178" s="2">
        <v>688</v>
      </c>
    </row>
    <row r="179" spans="1:8" x14ac:dyDescent="0.35">
      <c r="A179" s="2">
        <v>132</v>
      </c>
      <c r="B179" s="5" t="s">
        <v>179</v>
      </c>
      <c r="C179" s="2">
        <f>VLOOKUP(B179:B437,Sheet4!A:B,2,0)</f>
        <v>200</v>
      </c>
      <c r="D179" s="2">
        <v>58</v>
      </c>
      <c r="E179" s="2">
        <v>96</v>
      </c>
      <c r="F179" s="2">
        <v>24</v>
      </c>
      <c r="G179" s="2">
        <v>0</v>
      </c>
      <c r="H179" s="2">
        <v>181</v>
      </c>
    </row>
    <row r="180" spans="1:8" x14ac:dyDescent="0.35">
      <c r="A180" s="2">
        <v>171</v>
      </c>
      <c r="B180" s="5" t="s">
        <v>180</v>
      </c>
      <c r="C180" s="2">
        <f>VLOOKUP(B180:B438,Sheet4!A:B,2,0)</f>
        <v>1958</v>
      </c>
      <c r="D180" s="2">
        <v>970</v>
      </c>
      <c r="E180" s="2">
        <v>399</v>
      </c>
      <c r="F180" s="2">
        <v>18</v>
      </c>
      <c r="G180" s="2">
        <v>0</v>
      </c>
      <c r="H180" s="2">
        <v>1664</v>
      </c>
    </row>
    <row r="181" spans="1:8" x14ac:dyDescent="0.35">
      <c r="A181" s="2">
        <v>212</v>
      </c>
      <c r="B181" s="5" t="s">
        <v>181</v>
      </c>
      <c r="C181" s="2">
        <f>VLOOKUP(B181:B439,Sheet4!A:B,2,0)</f>
        <v>423</v>
      </c>
      <c r="D181" s="2">
        <v>200</v>
      </c>
      <c r="E181" s="2">
        <v>152</v>
      </c>
      <c r="F181" s="2">
        <v>43</v>
      </c>
      <c r="G181" s="2">
        <v>0</v>
      </c>
      <c r="H181" s="2">
        <v>426</v>
      </c>
    </row>
    <row r="182" spans="1:8" x14ac:dyDescent="0.35">
      <c r="A182" s="2">
        <v>246</v>
      </c>
      <c r="B182" s="5" t="s">
        <v>182</v>
      </c>
      <c r="C182" s="2">
        <f>VLOOKUP(B182:B440,Sheet4!A:B,2,0)</f>
        <v>307</v>
      </c>
      <c r="D182" s="2">
        <v>86</v>
      </c>
      <c r="E182" s="2">
        <v>160</v>
      </c>
      <c r="F182" s="2">
        <v>1</v>
      </c>
      <c r="G182" s="2">
        <v>10</v>
      </c>
      <c r="H182" s="2">
        <v>268</v>
      </c>
    </row>
    <row r="183" spans="1:8" x14ac:dyDescent="0.35">
      <c r="A183" s="2">
        <v>6</v>
      </c>
      <c r="B183" s="5" t="s">
        <v>183</v>
      </c>
      <c r="C183" s="2">
        <f>VLOOKUP(B183:B441,Sheet4!A:B,2,0)</f>
        <v>815</v>
      </c>
      <c r="D183" s="2">
        <v>258</v>
      </c>
      <c r="E183" s="2">
        <v>408</v>
      </c>
      <c r="F183" s="2">
        <v>32</v>
      </c>
      <c r="G183" s="2">
        <v>0</v>
      </c>
      <c r="H183" s="2">
        <v>708</v>
      </c>
    </row>
    <row r="184" spans="1:8" x14ac:dyDescent="0.35">
      <c r="A184" s="2">
        <v>19</v>
      </c>
      <c r="B184" s="5" t="s">
        <v>184</v>
      </c>
      <c r="C184" s="2">
        <f>VLOOKUP(B184:B442,Sheet4!A:B,2,0)</f>
        <v>717</v>
      </c>
      <c r="D184" s="2">
        <v>65</v>
      </c>
      <c r="E184" s="2">
        <v>398</v>
      </c>
      <c r="F184" s="2">
        <v>233</v>
      </c>
      <c r="G184" s="2">
        <v>0</v>
      </c>
      <c r="H184" s="2">
        <v>698</v>
      </c>
    </row>
    <row r="185" spans="1:8" x14ac:dyDescent="0.35">
      <c r="A185" s="2">
        <v>26</v>
      </c>
      <c r="B185" s="5" t="s">
        <v>185</v>
      </c>
      <c r="C185" s="2">
        <f>VLOOKUP(B185:B443,Sheet4!A:B,2,0)</f>
        <v>1397</v>
      </c>
      <c r="D185" s="2">
        <v>66</v>
      </c>
      <c r="E185" s="2">
        <v>156</v>
      </c>
      <c r="F185" s="2">
        <v>0</v>
      </c>
      <c r="G185" s="2">
        <v>0</v>
      </c>
      <c r="H185" s="2">
        <v>228</v>
      </c>
    </row>
    <row r="186" spans="1:8" x14ac:dyDescent="0.35">
      <c r="A186" s="2">
        <v>48</v>
      </c>
      <c r="B186" s="5" t="s">
        <v>186</v>
      </c>
      <c r="C186" s="2">
        <f>VLOOKUP(B186:B444,Sheet4!A:B,2,0)</f>
        <v>347</v>
      </c>
      <c r="D186" s="2">
        <v>90</v>
      </c>
      <c r="E186" s="2">
        <v>148</v>
      </c>
      <c r="F186" s="2">
        <v>0</v>
      </c>
      <c r="G186" s="2">
        <v>0</v>
      </c>
      <c r="H186" s="2">
        <v>240</v>
      </c>
    </row>
    <row r="187" spans="1:8" x14ac:dyDescent="0.35">
      <c r="A187" s="2">
        <v>62</v>
      </c>
      <c r="B187" s="5" t="s">
        <v>187</v>
      </c>
      <c r="C187" s="2">
        <f>VLOOKUP(B187:B445,Sheet4!A:B,2,0)</f>
        <v>529</v>
      </c>
      <c r="D187" s="2">
        <v>104</v>
      </c>
      <c r="E187" s="2">
        <v>353</v>
      </c>
      <c r="F187" s="2">
        <v>0</v>
      </c>
      <c r="G187" s="2">
        <v>0</v>
      </c>
      <c r="H187" s="2">
        <v>458</v>
      </c>
    </row>
    <row r="188" spans="1:8" x14ac:dyDescent="0.35">
      <c r="A188" s="2">
        <v>75</v>
      </c>
      <c r="B188" s="5" t="s">
        <v>188</v>
      </c>
      <c r="C188" s="2">
        <f>VLOOKUP(B188:B446,Sheet4!A:B,2,0)</f>
        <v>664</v>
      </c>
      <c r="D188" s="2">
        <v>112</v>
      </c>
      <c r="E188" s="2">
        <v>345</v>
      </c>
      <c r="F188" s="2">
        <v>4</v>
      </c>
      <c r="G188" s="2">
        <v>0</v>
      </c>
      <c r="H188" s="2">
        <v>473</v>
      </c>
    </row>
    <row r="189" spans="1:8" x14ac:dyDescent="0.35">
      <c r="A189" s="2">
        <v>117</v>
      </c>
      <c r="B189" s="5" t="s">
        <v>189</v>
      </c>
      <c r="C189" s="2">
        <f>VLOOKUP(B189:B447,Sheet4!A:B,2,0)</f>
        <v>1360</v>
      </c>
      <c r="D189" s="2">
        <v>654</v>
      </c>
      <c r="E189" s="2">
        <v>272</v>
      </c>
      <c r="F189" s="2">
        <v>0</v>
      </c>
      <c r="G189" s="2">
        <v>0</v>
      </c>
      <c r="H189" s="2">
        <v>1072</v>
      </c>
    </row>
    <row r="190" spans="1:8" x14ac:dyDescent="0.35">
      <c r="A190" s="2">
        <v>128</v>
      </c>
      <c r="B190" s="5" t="s">
        <v>190</v>
      </c>
      <c r="C190" s="2">
        <f>VLOOKUP(B190:B448,Sheet4!A:B,2,0)</f>
        <v>316</v>
      </c>
      <c r="D190" s="2">
        <v>32</v>
      </c>
      <c r="E190" s="2">
        <v>59</v>
      </c>
      <c r="F190" s="2">
        <v>7</v>
      </c>
      <c r="G190" s="2">
        <v>0</v>
      </c>
      <c r="H190" s="2">
        <v>102</v>
      </c>
    </row>
    <row r="191" spans="1:8" x14ac:dyDescent="0.35">
      <c r="A191" s="2">
        <v>168</v>
      </c>
      <c r="B191" s="5" t="s">
        <v>191</v>
      </c>
      <c r="C191" s="2">
        <f>VLOOKUP(B191:B449,Sheet4!A:B,2,0)</f>
        <v>512</v>
      </c>
      <c r="D191" s="2">
        <v>159</v>
      </c>
      <c r="E191" s="2">
        <v>260</v>
      </c>
      <c r="F191" s="2">
        <v>11</v>
      </c>
      <c r="G191" s="2">
        <v>0</v>
      </c>
      <c r="H191" s="2">
        <v>437</v>
      </c>
    </row>
    <row r="192" spans="1:8" x14ac:dyDescent="0.35">
      <c r="A192" s="2">
        <v>204</v>
      </c>
      <c r="B192" s="5" t="s">
        <v>192</v>
      </c>
      <c r="C192" s="2">
        <f>VLOOKUP(B192:B450,Sheet4!A:B,2,0)</f>
        <v>1851</v>
      </c>
      <c r="D192" s="2">
        <v>332</v>
      </c>
      <c r="E192" s="2">
        <v>1041</v>
      </c>
      <c r="F192" s="2">
        <v>50</v>
      </c>
      <c r="G192" s="2">
        <v>31</v>
      </c>
      <c r="H192" s="2">
        <v>1495</v>
      </c>
    </row>
    <row r="193" spans="1:8" x14ac:dyDescent="0.35">
      <c r="A193" s="2">
        <v>216</v>
      </c>
      <c r="B193" s="5" t="s">
        <v>193</v>
      </c>
      <c r="C193" s="2">
        <f>VLOOKUP(B193:B451,Sheet4!A:B,2,0)</f>
        <v>750</v>
      </c>
      <c r="D193" s="2">
        <v>244</v>
      </c>
      <c r="E193" s="2">
        <v>321</v>
      </c>
      <c r="F193" s="2">
        <v>2</v>
      </c>
      <c r="G193" s="2">
        <v>0</v>
      </c>
      <c r="H193" s="2">
        <v>581</v>
      </c>
    </row>
    <row r="194" spans="1:8" x14ac:dyDescent="0.35">
      <c r="A194" s="2">
        <v>54</v>
      </c>
      <c r="B194" s="5" t="s">
        <v>194</v>
      </c>
      <c r="C194" s="2">
        <f>VLOOKUP(B194:B452,Sheet4!A:B,2,0)</f>
        <v>120</v>
      </c>
      <c r="D194" s="2">
        <v>22</v>
      </c>
      <c r="E194" s="2">
        <v>63</v>
      </c>
      <c r="F194" s="2">
        <v>25</v>
      </c>
      <c r="G194" s="2">
        <v>0</v>
      </c>
      <c r="H194" s="2">
        <v>112</v>
      </c>
    </row>
    <row r="195" spans="1:8" x14ac:dyDescent="0.35">
      <c r="A195" s="2">
        <v>67</v>
      </c>
      <c r="B195" s="5" t="s">
        <v>195</v>
      </c>
      <c r="C195" s="2">
        <f>VLOOKUP(B195:B453,Sheet4!A:B,2,0)</f>
        <v>376</v>
      </c>
      <c r="D195" s="2">
        <v>15</v>
      </c>
      <c r="E195" s="2">
        <v>322</v>
      </c>
      <c r="F195" s="2">
        <v>14</v>
      </c>
      <c r="G195" s="2">
        <v>0</v>
      </c>
      <c r="H195" s="2">
        <v>354</v>
      </c>
    </row>
    <row r="196" spans="1:8" x14ac:dyDescent="0.35">
      <c r="A196" s="2">
        <v>72</v>
      </c>
      <c r="B196" s="5" t="s">
        <v>196</v>
      </c>
      <c r="C196" s="2">
        <f>VLOOKUP(B196:B454,Sheet4!A:B,2,0)</f>
        <v>619</v>
      </c>
      <c r="D196" s="2">
        <v>119</v>
      </c>
      <c r="E196" s="2">
        <v>314</v>
      </c>
      <c r="F196" s="2">
        <v>23</v>
      </c>
      <c r="G196" s="2">
        <v>0</v>
      </c>
      <c r="H196" s="2">
        <v>458</v>
      </c>
    </row>
    <row r="197" spans="1:8" x14ac:dyDescent="0.35">
      <c r="A197" s="2">
        <v>78</v>
      </c>
      <c r="B197" s="5" t="s">
        <v>197</v>
      </c>
      <c r="C197" s="2">
        <f>VLOOKUP(B197:B455,Sheet4!A:B,2,0)</f>
        <v>203</v>
      </c>
      <c r="D197" s="2">
        <v>27</v>
      </c>
      <c r="E197" s="2">
        <v>144</v>
      </c>
      <c r="F197" s="2">
        <v>2</v>
      </c>
      <c r="G197" s="2">
        <v>0</v>
      </c>
      <c r="H197" s="2">
        <v>177</v>
      </c>
    </row>
    <row r="198" spans="1:8" x14ac:dyDescent="0.35">
      <c r="A198" s="2">
        <v>127</v>
      </c>
      <c r="B198" s="5" t="s">
        <v>198</v>
      </c>
      <c r="C198" s="2">
        <f>VLOOKUP(B198:B456,Sheet4!A:B,2,0)</f>
        <v>453</v>
      </c>
      <c r="D198" s="2">
        <v>68</v>
      </c>
      <c r="E198" s="2">
        <v>301</v>
      </c>
      <c r="F198" s="2">
        <v>0</v>
      </c>
      <c r="G198" s="2">
        <v>0</v>
      </c>
      <c r="H198" s="2">
        <v>381</v>
      </c>
    </row>
    <row r="199" spans="1:8" x14ac:dyDescent="0.35">
      <c r="A199" s="2">
        <v>138</v>
      </c>
      <c r="B199" s="5" t="s">
        <v>199</v>
      </c>
      <c r="C199" s="2">
        <f>VLOOKUP(B199:B457,Sheet4!A:B,2,0)</f>
        <v>323</v>
      </c>
      <c r="D199" s="2">
        <v>63</v>
      </c>
      <c r="E199" s="2">
        <v>129</v>
      </c>
      <c r="F199" s="2">
        <v>78</v>
      </c>
      <c r="G199" s="2">
        <v>21</v>
      </c>
      <c r="H199" s="2">
        <v>294</v>
      </c>
    </row>
    <row r="200" spans="1:8" x14ac:dyDescent="0.35">
      <c r="A200" s="2">
        <v>139</v>
      </c>
      <c r="B200" s="5" t="s">
        <v>200</v>
      </c>
      <c r="C200" s="2">
        <f>VLOOKUP(B200:B458,Sheet4!A:B,2,0)</f>
        <v>61</v>
      </c>
      <c r="D200" s="2">
        <v>2</v>
      </c>
      <c r="E200" s="2">
        <v>0</v>
      </c>
      <c r="F200" s="2">
        <v>0</v>
      </c>
      <c r="G200" s="2">
        <v>0</v>
      </c>
      <c r="H200" s="2">
        <v>2</v>
      </c>
    </row>
    <row r="201" spans="1:8" x14ac:dyDescent="0.35">
      <c r="A201" s="2">
        <v>182</v>
      </c>
      <c r="B201" s="5" t="s">
        <v>201</v>
      </c>
      <c r="C201" s="2">
        <f>VLOOKUP(B201:B459,Sheet4!A:B,2,0)</f>
        <v>154</v>
      </c>
      <c r="D201" s="2">
        <v>78</v>
      </c>
      <c r="E201" s="2">
        <v>38</v>
      </c>
      <c r="F201" s="2">
        <v>0</v>
      </c>
      <c r="G201" s="2">
        <v>0</v>
      </c>
      <c r="H201" s="2">
        <v>125</v>
      </c>
    </row>
    <row r="202" spans="1:8" x14ac:dyDescent="0.35">
      <c r="A202" s="2">
        <v>188</v>
      </c>
      <c r="B202" s="5" t="s">
        <v>202</v>
      </c>
      <c r="C202" s="2">
        <f>VLOOKUP(B202:B460,Sheet4!A:B,2,0)</f>
        <v>2328</v>
      </c>
      <c r="D202" s="2">
        <v>778</v>
      </c>
      <c r="E202" s="2">
        <v>568</v>
      </c>
      <c r="F202" s="2">
        <v>10</v>
      </c>
      <c r="G202" s="2">
        <v>0</v>
      </c>
      <c r="H202" s="2">
        <v>1477</v>
      </c>
    </row>
    <row r="203" spans="1:8" x14ac:dyDescent="0.35">
      <c r="A203" s="2">
        <v>214</v>
      </c>
      <c r="B203" s="5" t="s">
        <v>203</v>
      </c>
      <c r="C203" s="2">
        <f>VLOOKUP(B203:B461,Sheet4!A:B,2,0)</f>
        <v>494</v>
      </c>
      <c r="D203" s="2">
        <v>146</v>
      </c>
      <c r="E203" s="2">
        <v>176</v>
      </c>
      <c r="F203" s="2">
        <v>11</v>
      </c>
      <c r="G203" s="2">
        <v>0</v>
      </c>
      <c r="H203" s="2">
        <v>333</v>
      </c>
    </row>
    <row r="204" spans="1:8" x14ac:dyDescent="0.35">
      <c r="A204" s="2">
        <v>227</v>
      </c>
      <c r="B204" s="5" t="s">
        <v>204</v>
      </c>
      <c r="C204" s="2">
        <f>VLOOKUP(B204:B462,Sheet4!A:B,2,0)</f>
        <v>1722</v>
      </c>
      <c r="D204" s="2">
        <v>505</v>
      </c>
      <c r="E204" s="2">
        <v>1056</v>
      </c>
      <c r="F204" s="2">
        <v>12</v>
      </c>
      <c r="G204" s="2">
        <v>0</v>
      </c>
      <c r="H204" s="2">
        <v>1604</v>
      </c>
    </row>
    <row r="205" spans="1:8" x14ac:dyDescent="0.35">
      <c r="A205" s="2">
        <v>24</v>
      </c>
      <c r="B205" s="5" t="s">
        <v>205</v>
      </c>
      <c r="C205" s="2">
        <f>VLOOKUP(B205:B463,Sheet4!A:B,2,0)</f>
        <v>1310</v>
      </c>
      <c r="D205" s="2">
        <v>339</v>
      </c>
      <c r="E205" s="2">
        <v>917</v>
      </c>
      <c r="F205" s="2">
        <v>2</v>
      </c>
      <c r="G205" s="2">
        <v>0</v>
      </c>
      <c r="H205" s="2">
        <v>1355</v>
      </c>
    </row>
    <row r="206" spans="1:8" x14ac:dyDescent="0.35">
      <c r="A206" s="2">
        <v>185</v>
      </c>
      <c r="B206" s="5" t="s">
        <v>206</v>
      </c>
      <c r="C206" s="2">
        <f>VLOOKUP(B206:B464,Sheet4!A:B,2,0)</f>
        <v>1401</v>
      </c>
      <c r="D206" s="2">
        <v>663</v>
      </c>
      <c r="E206" s="2">
        <v>478</v>
      </c>
      <c r="F206" s="2">
        <v>0</v>
      </c>
      <c r="G206" s="2">
        <v>0</v>
      </c>
      <c r="H206" s="2">
        <v>1203</v>
      </c>
    </row>
    <row r="207" spans="1:8" x14ac:dyDescent="0.35">
      <c r="A207" s="2">
        <v>218</v>
      </c>
      <c r="B207" s="5" t="s">
        <v>207</v>
      </c>
      <c r="C207" s="2">
        <f>VLOOKUP(B207:B465,Sheet4!A:B,2,0)</f>
        <v>5224</v>
      </c>
      <c r="D207" s="2">
        <v>1339</v>
      </c>
      <c r="E207" s="2">
        <v>3701</v>
      </c>
      <c r="F207" s="2">
        <v>3</v>
      </c>
      <c r="G207" s="2">
        <v>57</v>
      </c>
      <c r="H207" s="2">
        <v>5109</v>
      </c>
    </row>
    <row r="208" spans="1:8" x14ac:dyDescent="0.35">
      <c r="A208" s="2">
        <v>237</v>
      </c>
      <c r="B208" s="5" t="s">
        <v>208</v>
      </c>
      <c r="C208" s="2">
        <f>VLOOKUP(B208:B466,Sheet4!A:B,2,0)</f>
        <v>1902</v>
      </c>
      <c r="D208" s="2">
        <v>722</v>
      </c>
      <c r="E208" s="2">
        <v>962</v>
      </c>
      <c r="F208" s="2">
        <v>41</v>
      </c>
      <c r="G208" s="2">
        <v>0</v>
      </c>
      <c r="H208" s="2">
        <v>1735</v>
      </c>
    </row>
    <row r="209" spans="1:8" x14ac:dyDescent="0.35">
      <c r="A209" s="2">
        <v>243</v>
      </c>
      <c r="B209" s="5" t="s">
        <v>209</v>
      </c>
      <c r="C209" s="2">
        <f>VLOOKUP(B209:B467,Sheet4!A:B,2,0)</f>
        <v>916</v>
      </c>
      <c r="D209" s="2">
        <v>137</v>
      </c>
      <c r="E209" s="2">
        <v>624</v>
      </c>
      <c r="F209" s="2">
        <v>26</v>
      </c>
      <c r="G209" s="2">
        <v>0</v>
      </c>
      <c r="H209" s="2">
        <v>811</v>
      </c>
    </row>
    <row r="210" spans="1:8" x14ac:dyDescent="0.35">
      <c r="A210" s="2">
        <v>245</v>
      </c>
      <c r="B210" s="5" t="s">
        <v>210</v>
      </c>
      <c r="C210" s="2">
        <f>VLOOKUP(B210:B468,Sheet4!A:B,2,0)</f>
        <v>1626</v>
      </c>
      <c r="D210" s="2">
        <v>6</v>
      </c>
      <c r="E210" s="2">
        <v>944</v>
      </c>
      <c r="F210" s="2">
        <v>4</v>
      </c>
      <c r="G210" s="2">
        <v>0</v>
      </c>
      <c r="H210" s="2">
        <v>1517</v>
      </c>
    </row>
    <row r="211" spans="1:8" x14ac:dyDescent="0.35">
      <c r="A211" s="2">
        <v>69</v>
      </c>
      <c r="B211" s="5" t="s">
        <v>211</v>
      </c>
      <c r="C211" s="2">
        <f>VLOOKUP(B211:B469,Sheet4!A:B,2,0)</f>
        <v>1376</v>
      </c>
      <c r="D211" s="2">
        <v>405</v>
      </c>
      <c r="E211" s="2">
        <v>323</v>
      </c>
      <c r="F211" s="2">
        <v>1</v>
      </c>
      <c r="G211" s="2">
        <v>0</v>
      </c>
      <c r="H211" s="2">
        <v>797</v>
      </c>
    </row>
    <row r="212" spans="1:8" x14ac:dyDescent="0.35">
      <c r="A212" s="2">
        <v>176</v>
      </c>
      <c r="B212" s="5" t="s">
        <v>212</v>
      </c>
      <c r="C212" s="2">
        <f>VLOOKUP(B212:B470,Sheet4!A:B,2,0)</f>
        <v>1569</v>
      </c>
      <c r="D212" s="2">
        <v>41</v>
      </c>
      <c r="E212" s="2">
        <v>474</v>
      </c>
      <c r="F212" s="2">
        <v>138</v>
      </c>
      <c r="G212" s="2">
        <v>0</v>
      </c>
      <c r="H212" s="2">
        <v>655</v>
      </c>
    </row>
    <row r="213" spans="1:8" x14ac:dyDescent="0.35">
      <c r="A213" s="2">
        <v>215</v>
      </c>
      <c r="B213" s="5" t="s">
        <v>213</v>
      </c>
      <c r="C213" s="2">
        <f>VLOOKUP(B213:B471,Sheet4!A:B,2,0)</f>
        <v>889</v>
      </c>
      <c r="D213" s="2">
        <v>86</v>
      </c>
      <c r="E213" s="2">
        <v>109</v>
      </c>
      <c r="F213" s="2">
        <v>46</v>
      </c>
      <c r="G213" s="2">
        <v>1</v>
      </c>
      <c r="H213" s="2">
        <v>249</v>
      </c>
    </row>
    <row r="214" spans="1:8" x14ac:dyDescent="0.35">
      <c r="A214" s="2">
        <v>221</v>
      </c>
      <c r="B214" s="5" t="s">
        <v>214</v>
      </c>
      <c r="C214" s="2">
        <f>VLOOKUP(B214:B472,Sheet4!A:B,2,0)</f>
        <v>1758</v>
      </c>
      <c r="D214" s="2">
        <v>258</v>
      </c>
      <c r="E214" s="2">
        <v>1138</v>
      </c>
      <c r="F214" s="2">
        <v>34</v>
      </c>
      <c r="G214" s="2">
        <v>4</v>
      </c>
      <c r="H214" s="2">
        <v>1726</v>
      </c>
    </row>
    <row r="215" spans="1:8" x14ac:dyDescent="0.35">
      <c r="A215" s="2">
        <v>224</v>
      </c>
      <c r="B215" s="5" t="s">
        <v>215</v>
      </c>
      <c r="C215" s="2">
        <f>VLOOKUP(B215:B473,Sheet4!A:B,2,0)</f>
        <v>1309</v>
      </c>
      <c r="D215" s="2">
        <v>274</v>
      </c>
      <c r="E215" s="2">
        <v>598</v>
      </c>
      <c r="F215" s="2">
        <v>192</v>
      </c>
      <c r="G215" s="2">
        <v>1</v>
      </c>
      <c r="H215" s="2">
        <v>1117</v>
      </c>
    </row>
    <row r="216" spans="1:8" x14ac:dyDescent="0.35">
      <c r="A216" s="2">
        <v>228</v>
      </c>
      <c r="B216" s="5" t="s">
        <v>216</v>
      </c>
      <c r="C216" s="2">
        <f>VLOOKUP(B216:B474,Sheet4!A:B,2,0)</f>
        <v>2220</v>
      </c>
      <c r="D216" s="2">
        <v>534</v>
      </c>
      <c r="E216" s="2">
        <v>1298</v>
      </c>
      <c r="F216" s="2">
        <v>5</v>
      </c>
      <c r="G216" s="2">
        <v>0</v>
      </c>
      <c r="H216" s="2">
        <v>2033</v>
      </c>
    </row>
    <row r="217" spans="1:8" x14ac:dyDescent="0.35">
      <c r="A217" s="2">
        <v>239</v>
      </c>
      <c r="B217" s="5" t="s">
        <v>217</v>
      </c>
      <c r="C217" s="2">
        <f>VLOOKUP(B217:B475,Sheet4!A:B,2,0)</f>
        <v>1075</v>
      </c>
      <c r="D217" s="2">
        <v>63</v>
      </c>
      <c r="E217" s="2">
        <v>822</v>
      </c>
      <c r="F217" s="2">
        <v>11</v>
      </c>
      <c r="G217" s="2">
        <v>0</v>
      </c>
      <c r="H217" s="2">
        <v>901</v>
      </c>
    </row>
    <row r="218" spans="1:8" x14ac:dyDescent="0.35">
      <c r="A218" s="2">
        <v>251</v>
      </c>
      <c r="B218" s="5" t="s">
        <v>218</v>
      </c>
      <c r="C218" s="2">
        <f>VLOOKUP(B218:B476,Sheet4!A:B,2,0)</f>
        <v>1097</v>
      </c>
      <c r="D218" s="2">
        <v>135</v>
      </c>
      <c r="E218" s="2">
        <v>506</v>
      </c>
      <c r="F218" s="2">
        <v>44</v>
      </c>
      <c r="G218" s="2">
        <v>0</v>
      </c>
      <c r="H218" s="2">
        <v>781</v>
      </c>
    </row>
    <row r="219" spans="1:8" x14ac:dyDescent="0.35">
      <c r="A219" s="2">
        <v>65</v>
      </c>
      <c r="B219" s="5" t="s">
        <v>219</v>
      </c>
      <c r="C219" s="2">
        <f>VLOOKUP(B219:B477,Sheet4!A:B,2,0)</f>
        <v>807</v>
      </c>
      <c r="D219" s="2">
        <v>195</v>
      </c>
      <c r="E219" s="2">
        <v>404</v>
      </c>
      <c r="F219" s="2">
        <v>7</v>
      </c>
      <c r="G219" s="2">
        <v>0</v>
      </c>
      <c r="H219" s="2">
        <v>667</v>
      </c>
    </row>
    <row r="220" spans="1:8" x14ac:dyDescent="0.35">
      <c r="A220" s="2">
        <v>76</v>
      </c>
      <c r="B220" s="5" t="s">
        <v>220</v>
      </c>
      <c r="C220" s="2">
        <f>VLOOKUP(B220:B478,Sheet4!A:B,2,0)</f>
        <v>525</v>
      </c>
      <c r="D220" s="2">
        <v>128</v>
      </c>
      <c r="E220" s="2">
        <v>44</v>
      </c>
      <c r="F220" s="2">
        <v>8</v>
      </c>
      <c r="G220" s="2">
        <v>0</v>
      </c>
      <c r="H220" s="2">
        <v>199</v>
      </c>
    </row>
    <row r="221" spans="1:8" x14ac:dyDescent="0.35">
      <c r="A221" s="2">
        <v>82</v>
      </c>
      <c r="B221" s="5" t="s">
        <v>221</v>
      </c>
      <c r="C221" s="2">
        <f>VLOOKUP(B221:B479,Sheet4!A:B,2,0)</f>
        <v>561</v>
      </c>
      <c r="D221" s="2">
        <v>155</v>
      </c>
      <c r="E221" s="2">
        <v>221</v>
      </c>
      <c r="F221" s="2">
        <v>37</v>
      </c>
      <c r="G221" s="2">
        <v>0</v>
      </c>
      <c r="H221" s="2">
        <v>421</v>
      </c>
    </row>
    <row r="222" spans="1:8" x14ac:dyDescent="0.35">
      <c r="A222" s="2">
        <v>141</v>
      </c>
      <c r="B222" s="5" t="s">
        <v>222</v>
      </c>
      <c r="C222" s="2">
        <f>VLOOKUP(B222:B480,Sheet4!A:B,2,0)</f>
        <v>20</v>
      </c>
      <c r="D222" s="2">
        <v>10</v>
      </c>
      <c r="E222" s="2">
        <v>6</v>
      </c>
      <c r="F222" s="2">
        <v>0</v>
      </c>
      <c r="G222" s="2">
        <v>0</v>
      </c>
      <c r="H222" s="2">
        <v>16</v>
      </c>
    </row>
    <row r="223" spans="1:8" x14ac:dyDescent="0.35">
      <c r="A223" s="2">
        <v>161</v>
      </c>
      <c r="B223" s="5" t="s">
        <v>223</v>
      </c>
      <c r="C223" s="2">
        <f>VLOOKUP(B223:B481,Sheet4!A:B,2,0)</f>
        <v>671</v>
      </c>
      <c r="D223" s="2">
        <v>365</v>
      </c>
      <c r="E223" s="2">
        <v>48</v>
      </c>
      <c r="F223" s="2">
        <v>1</v>
      </c>
      <c r="G223" s="2">
        <v>2</v>
      </c>
      <c r="H223" s="2">
        <v>519</v>
      </c>
    </row>
    <row r="224" spans="1:8" x14ac:dyDescent="0.35">
      <c r="A224" s="2">
        <v>163</v>
      </c>
      <c r="B224" s="5" t="s">
        <v>224</v>
      </c>
      <c r="C224" s="2">
        <f>VLOOKUP(B224:B482,Sheet4!A:B,2,0)</f>
        <v>768</v>
      </c>
      <c r="D224" s="2">
        <v>196</v>
      </c>
      <c r="E224" s="2">
        <v>323</v>
      </c>
      <c r="F224" s="2">
        <v>9</v>
      </c>
      <c r="G224" s="2">
        <v>0</v>
      </c>
      <c r="H224" s="2">
        <v>710</v>
      </c>
    </row>
    <row r="225" spans="1:8" x14ac:dyDescent="0.35">
      <c r="A225" s="2">
        <v>165</v>
      </c>
      <c r="B225" s="5" t="s">
        <v>225</v>
      </c>
      <c r="C225" s="2">
        <f>VLOOKUP(B225:B483,Sheet4!A:B,2,0)</f>
        <v>494</v>
      </c>
      <c r="D225" s="2">
        <v>90</v>
      </c>
      <c r="E225" s="2">
        <v>308</v>
      </c>
      <c r="F225" s="2">
        <v>12</v>
      </c>
      <c r="G225" s="2">
        <v>0</v>
      </c>
      <c r="H225" s="2">
        <v>411</v>
      </c>
    </row>
    <row r="226" spans="1:8" x14ac:dyDescent="0.35">
      <c r="A226" s="2">
        <v>193</v>
      </c>
      <c r="B226" s="5" t="s">
        <v>226</v>
      </c>
      <c r="C226" s="2">
        <f>VLOOKUP(B226:B484,Sheet4!A:B,2,0)</f>
        <v>1092</v>
      </c>
      <c r="D226" s="2">
        <v>385</v>
      </c>
      <c r="E226" s="2">
        <v>525</v>
      </c>
      <c r="F226" s="2">
        <v>35</v>
      </c>
      <c r="G226" s="2">
        <v>1</v>
      </c>
      <c r="H226" s="2">
        <v>1015</v>
      </c>
    </row>
    <row r="227" spans="1:8" x14ac:dyDescent="0.35">
      <c r="A227" s="2">
        <v>213</v>
      </c>
      <c r="B227" s="5" t="s">
        <v>227</v>
      </c>
      <c r="C227" s="2">
        <f>VLOOKUP(B227:B485,Sheet4!A:B,2,0)</f>
        <v>277</v>
      </c>
      <c r="D227" s="2">
        <v>60</v>
      </c>
      <c r="E227" s="2">
        <v>101</v>
      </c>
      <c r="F227" s="2">
        <v>23</v>
      </c>
      <c r="G227" s="2">
        <v>0</v>
      </c>
      <c r="H227" s="2">
        <v>198</v>
      </c>
    </row>
    <row r="228" spans="1:8" x14ac:dyDescent="0.35">
      <c r="A228" s="2">
        <v>244</v>
      </c>
      <c r="B228" s="5" t="s">
        <v>228</v>
      </c>
      <c r="C228" s="2">
        <f>VLOOKUP(B228:B486,Sheet4!A:B,2,0)</f>
        <v>100</v>
      </c>
      <c r="D228" s="2">
        <v>17</v>
      </c>
      <c r="E228" s="2">
        <v>60</v>
      </c>
      <c r="F228" s="2">
        <v>8</v>
      </c>
      <c r="G228" s="2">
        <v>1</v>
      </c>
      <c r="H228" s="2">
        <v>87</v>
      </c>
    </row>
    <row r="229" spans="1:8" x14ac:dyDescent="0.35">
      <c r="A229" s="2">
        <v>31</v>
      </c>
      <c r="B229" s="5" t="s">
        <v>229</v>
      </c>
      <c r="C229" s="2">
        <f>VLOOKUP(B229:B487,Sheet4!A:B,2,0)</f>
        <v>436</v>
      </c>
      <c r="D229" s="2">
        <v>52</v>
      </c>
      <c r="E229" s="2">
        <v>282</v>
      </c>
      <c r="F229" s="2">
        <v>32</v>
      </c>
      <c r="G229" s="2">
        <v>0</v>
      </c>
      <c r="H229" s="2">
        <v>370</v>
      </c>
    </row>
    <row r="230" spans="1:8" x14ac:dyDescent="0.35">
      <c r="A230" s="2">
        <v>68</v>
      </c>
      <c r="B230" s="5" t="s">
        <v>230</v>
      </c>
      <c r="C230" s="2">
        <f>VLOOKUP(B230:B488,Sheet4!A:B,2,0)</f>
        <v>181</v>
      </c>
      <c r="D230" s="2">
        <v>13</v>
      </c>
      <c r="E230" s="2">
        <v>85</v>
      </c>
      <c r="F230" s="2">
        <v>0</v>
      </c>
      <c r="G230" s="2">
        <v>0</v>
      </c>
      <c r="H230" s="2">
        <v>98</v>
      </c>
    </row>
    <row r="231" spans="1:8" x14ac:dyDescent="0.35">
      <c r="A231" s="2">
        <v>230</v>
      </c>
      <c r="B231" s="5" t="s">
        <v>231</v>
      </c>
      <c r="C231" s="2">
        <f>VLOOKUP(B231:B489,Sheet4!A:B,2,0)</f>
        <v>245</v>
      </c>
      <c r="D231" s="2">
        <v>102</v>
      </c>
      <c r="E231" s="2">
        <v>80</v>
      </c>
      <c r="F231" s="2">
        <v>8</v>
      </c>
      <c r="G231" s="2">
        <v>0</v>
      </c>
      <c r="H231" s="2">
        <v>191</v>
      </c>
    </row>
    <row r="232" spans="1:8" x14ac:dyDescent="0.35">
      <c r="A232" s="2">
        <v>231</v>
      </c>
      <c r="B232" s="5" t="s">
        <v>232</v>
      </c>
      <c r="C232" s="2">
        <f>VLOOKUP(B232:B490,Sheet4!A:B,2,0)</f>
        <v>632</v>
      </c>
      <c r="D232" s="2">
        <v>199</v>
      </c>
      <c r="E232" s="2">
        <v>273</v>
      </c>
      <c r="F232" s="2">
        <v>29</v>
      </c>
      <c r="G232" s="2">
        <v>0</v>
      </c>
      <c r="H232" s="2">
        <v>510</v>
      </c>
    </row>
    <row r="233" spans="1:8" x14ac:dyDescent="0.35">
      <c r="A233" s="2">
        <v>232</v>
      </c>
      <c r="B233" s="5" t="s">
        <v>233</v>
      </c>
      <c r="C233" s="2">
        <f>VLOOKUP(B233:B491,Sheet4!A:B,2,0)</f>
        <v>239</v>
      </c>
      <c r="D233" s="2">
        <v>30</v>
      </c>
      <c r="E233" s="2">
        <v>178</v>
      </c>
      <c r="F233" s="2">
        <v>0</v>
      </c>
      <c r="G233" s="2">
        <v>0</v>
      </c>
      <c r="H233" s="2">
        <v>208</v>
      </c>
    </row>
    <row r="234" spans="1:8" x14ac:dyDescent="0.35">
      <c r="A234" s="2">
        <v>18</v>
      </c>
      <c r="B234" s="5" t="s">
        <v>234</v>
      </c>
      <c r="C234" s="2">
        <f>VLOOKUP(B234:B492,Sheet4!A:B,2,0)</f>
        <v>1449</v>
      </c>
      <c r="D234" s="2">
        <v>330</v>
      </c>
      <c r="E234" s="2">
        <v>274</v>
      </c>
      <c r="F234" s="2">
        <v>1</v>
      </c>
      <c r="G234" s="2">
        <v>1</v>
      </c>
      <c r="H234" s="2">
        <v>627</v>
      </c>
    </row>
    <row r="235" spans="1:8" x14ac:dyDescent="0.35">
      <c r="A235" s="2">
        <v>41</v>
      </c>
      <c r="B235" s="5" t="s">
        <v>235</v>
      </c>
      <c r="C235" s="2">
        <f>VLOOKUP(B235:B493,Sheet4!A:B,2,0)</f>
        <v>951</v>
      </c>
      <c r="D235" s="2">
        <v>131</v>
      </c>
      <c r="E235" s="2">
        <v>270</v>
      </c>
      <c r="F235" s="2">
        <v>6</v>
      </c>
      <c r="G235" s="2">
        <v>1</v>
      </c>
      <c r="H235" s="2">
        <v>411</v>
      </c>
    </row>
    <row r="236" spans="1:8" x14ac:dyDescent="0.35">
      <c r="A236" s="2">
        <v>115</v>
      </c>
      <c r="B236" s="5" t="s">
        <v>236</v>
      </c>
      <c r="C236" s="2">
        <f>VLOOKUP(B236:B494,Sheet4!A:B,2,0)</f>
        <v>2256</v>
      </c>
      <c r="D236" s="2">
        <v>505</v>
      </c>
      <c r="E236" s="2">
        <v>1057</v>
      </c>
      <c r="F236" s="2">
        <v>549</v>
      </c>
      <c r="G236" s="2">
        <v>83</v>
      </c>
      <c r="H236" s="2">
        <v>2205</v>
      </c>
    </row>
    <row r="237" spans="1:8" x14ac:dyDescent="0.35">
      <c r="A237" s="2">
        <v>241</v>
      </c>
      <c r="B237" s="5" t="s">
        <v>237</v>
      </c>
      <c r="C237" s="2">
        <f>VLOOKUP(B237:B495,Sheet4!A:B,2,0)</f>
        <v>3691</v>
      </c>
      <c r="D237" s="2">
        <v>600</v>
      </c>
      <c r="E237" s="2">
        <v>916</v>
      </c>
      <c r="F237" s="2">
        <v>2</v>
      </c>
      <c r="G237" s="2">
        <v>0</v>
      </c>
      <c r="H237" s="2">
        <v>1518</v>
      </c>
    </row>
    <row r="238" spans="1:8" x14ac:dyDescent="0.35">
      <c r="A238" s="2">
        <v>249</v>
      </c>
      <c r="B238" s="5" t="s">
        <v>238</v>
      </c>
      <c r="C238" s="2">
        <f>VLOOKUP(B238:B496,Sheet4!A:B,2,0)</f>
        <v>1416</v>
      </c>
      <c r="D238" s="2">
        <v>61</v>
      </c>
      <c r="E238" s="2">
        <v>210</v>
      </c>
      <c r="F238" s="2">
        <v>13</v>
      </c>
      <c r="G238" s="2">
        <v>0</v>
      </c>
      <c r="H238" s="2">
        <v>307</v>
      </c>
    </row>
    <row r="239" spans="1:8" x14ac:dyDescent="0.35">
      <c r="A239" s="2">
        <v>7</v>
      </c>
      <c r="B239" s="5" t="s">
        <v>239</v>
      </c>
      <c r="C239" s="2">
        <f>VLOOKUP(B239:B497,Sheet4!A:B,2,0)</f>
        <v>107</v>
      </c>
      <c r="D239" s="2">
        <v>19</v>
      </c>
      <c r="E239" s="2">
        <v>53</v>
      </c>
      <c r="F239" s="2">
        <v>0</v>
      </c>
      <c r="G239" s="2">
        <v>0</v>
      </c>
      <c r="H239" s="2">
        <v>72</v>
      </c>
    </row>
    <row r="240" spans="1:8" x14ac:dyDescent="0.35">
      <c r="A240" s="2">
        <v>33</v>
      </c>
      <c r="B240" s="5" t="s">
        <v>240</v>
      </c>
      <c r="C240" s="2">
        <f>VLOOKUP(B240:B498,Sheet4!A:B,2,0)</f>
        <v>294</v>
      </c>
      <c r="D240" s="2">
        <v>27</v>
      </c>
      <c r="E240" s="2">
        <v>220</v>
      </c>
      <c r="F240" s="2">
        <v>10</v>
      </c>
      <c r="G240" s="2">
        <v>0</v>
      </c>
      <c r="H240" s="2">
        <v>281</v>
      </c>
    </row>
    <row r="241" spans="1:8" x14ac:dyDescent="0.35">
      <c r="A241" s="2">
        <v>37</v>
      </c>
      <c r="B241" s="5" t="s">
        <v>241</v>
      </c>
      <c r="C241" s="2">
        <f>VLOOKUP(B241:B499,Sheet4!A:B,2,0)</f>
        <v>187</v>
      </c>
      <c r="D241" s="2">
        <v>106</v>
      </c>
      <c r="E241" s="2">
        <v>69</v>
      </c>
      <c r="F241" s="2">
        <v>0</v>
      </c>
      <c r="G241" s="2">
        <v>0</v>
      </c>
      <c r="H241" s="2">
        <v>178</v>
      </c>
    </row>
    <row r="242" spans="1:8" x14ac:dyDescent="0.35">
      <c r="A242" s="2">
        <v>94</v>
      </c>
      <c r="B242" s="5" t="s">
        <v>242</v>
      </c>
      <c r="C242" s="2">
        <f>VLOOKUP(B242:B500,Sheet4!A:B,2,0)</f>
        <v>262</v>
      </c>
      <c r="D242" s="2">
        <v>215</v>
      </c>
      <c r="E242" s="2">
        <v>7</v>
      </c>
      <c r="F242" s="2">
        <v>0</v>
      </c>
      <c r="G242" s="2">
        <v>0</v>
      </c>
      <c r="H242" s="2">
        <v>248</v>
      </c>
    </row>
    <row r="243" spans="1:8" x14ac:dyDescent="0.35">
      <c r="A243" s="2">
        <v>96</v>
      </c>
      <c r="B243" s="5" t="s">
        <v>243</v>
      </c>
      <c r="C243" s="2">
        <f>VLOOKUP(B243:B501,Sheet4!A:B,2,0)</f>
        <v>430</v>
      </c>
      <c r="D243" s="2">
        <v>40</v>
      </c>
      <c r="E243" s="2">
        <v>268</v>
      </c>
      <c r="F243" s="2">
        <v>0</v>
      </c>
      <c r="G243" s="2">
        <v>0</v>
      </c>
      <c r="H243" s="2">
        <v>311</v>
      </c>
    </row>
    <row r="244" spans="1:8" x14ac:dyDescent="0.35">
      <c r="A244" s="2">
        <v>100</v>
      </c>
      <c r="B244" s="5" t="s">
        <v>244</v>
      </c>
      <c r="C244" s="2">
        <f>VLOOKUP(B244:B502,Sheet4!A:B,2,0)</f>
        <v>261</v>
      </c>
      <c r="D244" s="2">
        <v>64</v>
      </c>
      <c r="E244" s="2">
        <v>136</v>
      </c>
      <c r="F244" s="2">
        <v>0</v>
      </c>
      <c r="G244" s="2">
        <v>0</v>
      </c>
      <c r="H244" s="2">
        <v>200</v>
      </c>
    </row>
    <row r="245" spans="1:8" x14ac:dyDescent="0.35">
      <c r="A245" s="2">
        <v>154</v>
      </c>
      <c r="B245" s="5" t="s">
        <v>245</v>
      </c>
      <c r="C245" s="2">
        <f>VLOOKUP(B245:B503,Sheet4!A:B,2,0)</f>
        <v>240</v>
      </c>
      <c r="D245" s="2">
        <v>20</v>
      </c>
      <c r="E245" s="2">
        <v>84</v>
      </c>
      <c r="F245" s="2">
        <v>0</v>
      </c>
      <c r="G245" s="2">
        <v>0</v>
      </c>
      <c r="H245" s="2">
        <v>117</v>
      </c>
    </row>
    <row r="246" spans="1:8" x14ac:dyDescent="0.35">
      <c r="A246" s="2">
        <v>157</v>
      </c>
      <c r="B246" s="5" t="s">
        <v>246</v>
      </c>
      <c r="C246" s="2">
        <f>VLOOKUP(B246:B504,Sheet4!A:B,2,0)</f>
        <v>201</v>
      </c>
      <c r="D246" s="2">
        <v>39</v>
      </c>
      <c r="E246" s="2">
        <v>77</v>
      </c>
      <c r="F246" s="2">
        <v>2</v>
      </c>
      <c r="G246" s="2">
        <v>0</v>
      </c>
      <c r="H246" s="2">
        <v>162</v>
      </c>
    </row>
    <row r="247" spans="1:8" x14ac:dyDescent="0.35">
      <c r="A247" s="2">
        <v>242</v>
      </c>
      <c r="B247" s="5" t="s">
        <v>247</v>
      </c>
      <c r="C247" s="2">
        <f>VLOOKUP(B247:B505,Sheet4!A:B,2,0)</f>
        <v>3275</v>
      </c>
      <c r="D247" s="2">
        <v>1611</v>
      </c>
      <c r="E247" s="2">
        <v>1372</v>
      </c>
      <c r="F247" s="2">
        <v>124</v>
      </c>
      <c r="G247" s="2">
        <v>0</v>
      </c>
      <c r="H247" s="2">
        <v>3169</v>
      </c>
    </row>
    <row r="248" spans="1:8" x14ac:dyDescent="0.35">
      <c r="A248" s="2">
        <v>56</v>
      </c>
      <c r="B248" s="5" t="s">
        <v>248</v>
      </c>
      <c r="C248" s="2">
        <f>VLOOKUP(B248:B506,Sheet4!A:B,2,0)</f>
        <v>213</v>
      </c>
      <c r="D248" s="2">
        <v>34</v>
      </c>
      <c r="E248" s="2">
        <v>65</v>
      </c>
      <c r="F248" s="2">
        <v>4</v>
      </c>
      <c r="G248" s="2">
        <v>0</v>
      </c>
      <c r="H248" s="2">
        <v>104</v>
      </c>
    </row>
    <row r="249" spans="1:8" x14ac:dyDescent="0.35">
      <c r="A249" s="2">
        <v>187</v>
      </c>
      <c r="B249" s="5" t="s">
        <v>249</v>
      </c>
      <c r="C249" s="2">
        <f>VLOOKUP(B249:B507,Sheet4!A:B,2,0)</f>
        <v>236</v>
      </c>
      <c r="D249" s="2">
        <v>79</v>
      </c>
      <c r="E249" s="2">
        <v>74</v>
      </c>
      <c r="F249" s="2">
        <v>1</v>
      </c>
      <c r="G249" s="2">
        <v>0</v>
      </c>
      <c r="H249" s="2">
        <v>156</v>
      </c>
    </row>
    <row r="250" spans="1:8" x14ac:dyDescent="0.35">
      <c r="A250" s="2">
        <v>200</v>
      </c>
      <c r="B250" s="5" t="s">
        <v>250</v>
      </c>
      <c r="C250" s="2">
        <f>VLOOKUP(B250:B508,Sheet4!A:B,2,0)</f>
        <v>647</v>
      </c>
      <c r="D250" s="2">
        <v>187</v>
      </c>
      <c r="E250" s="2">
        <v>268</v>
      </c>
      <c r="F250" s="2">
        <v>0</v>
      </c>
      <c r="G250" s="2">
        <v>0</v>
      </c>
      <c r="H250" s="2">
        <v>487</v>
      </c>
    </row>
    <row r="251" spans="1:8" x14ac:dyDescent="0.35">
      <c r="A251" s="2">
        <v>236</v>
      </c>
      <c r="B251" s="5" t="s">
        <v>251</v>
      </c>
      <c r="C251" s="2">
        <f>VLOOKUP(B251:B509,Sheet4!A:B,2,0)</f>
        <v>659</v>
      </c>
      <c r="D251" s="2">
        <v>343</v>
      </c>
      <c r="E251" s="2">
        <v>62</v>
      </c>
      <c r="F251" s="2">
        <v>10</v>
      </c>
      <c r="G251" s="2">
        <v>0</v>
      </c>
      <c r="H251" s="2">
        <v>442</v>
      </c>
    </row>
    <row r="252" spans="1:8" x14ac:dyDescent="0.35">
      <c r="A252" s="2">
        <v>248</v>
      </c>
      <c r="B252" s="5" t="s">
        <v>252</v>
      </c>
      <c r="C252" s="2">
        <f>VLOOKUP(B252:B510,Sheet4!A:B,2,0)</f>
        <v>275</v>
      </c>
      <c r="D252" s="2">
        <v>53</v>
      </c>
      <c r="E252" s="2">
        <v>132</v>
      </c>
      <c r="F252" s="2">
        <v>11</v>
      </c>
      <c r="G252" s="2">
        <v>0</v>
      </c>
      <c r="H252" s="2">
        <v>198</v>
      </c>
    </row>
    <row r="253" spans="1:8" x14ac:dyDescent="0.35">
      <c r="A253" s="2">
        <v>256</v>
      </c>
      <c r="B253" s="5" t="s">
        <v>253</v>
      </c>
      <c r="C253" s="2">
        <f>VLOOKUP(B253:B511,Sheet4!A:B,2,0)</f>
        <v>1621</v>
      </c>
      <c r="D253" s="2">
        <v>463</v>
      </c>
      <c r="E253" s="2">
        <v>798</v>
      </c>
      <c r="F253" s="2">
        <v>7</v>
      </c>
      <c r="G253" s="2">
        <v>0</v>
      </c>
      <c r="H253" s="2">
        <v>1335</v>
      </c>
    </row>
    <row r="254" spans="1:8" x14ac:dyDescent="0.35">
      <c r="A254" s="2">
        <v>95</v>
      </c>
      <c r="B254" s="5" t="s">
        <v>254</v>
      </c>
      <c r="C254" s="2">
        <f>VLOOKUP(B254:B512,Sheet4!A:B,2,0)</f>
        <v>812</v>
      </c>
      <c r="D254" s="2">
        <v>37</v>
      </c>
      <c r="E254" s="2">
        <v>473</v>
      </c>
      <c r="F254" s="2">
        <v>17</v>
      </c>
      <c r="G254" s="2">
        <v>1</v>
      </c>
      <c r="H254" s="2">
        <v>541</v>
      </c>
    </row>
    <row r="255" spans="1:8" x14ac:dyDescent="0.35">
      <c r="A255" s="2">
        <v>98</v>
      </c>
      <c r="B255" s="5" t="s">
        <v>255</v>
      </c>
      <c r="C255" s="2">
        <f>VLOOKUP(B255:B513,Sheet4!A:B,2,0)</f>
        <v>1708</v>
      </c>
      <c r="D255" s="2">
        <v>583</v>
      </c>
      <c r="E255" s="2">
        <v>746</v>
      </c>
      <c r="F255" s="2">
        <v>12</v>
      </c>
      <c r="G255" s="2">
        <v>5</v>
      </c>
      <c r="H255" s="2">
        <v>1480</v>
      </c>
    </row>
    <row r="256" spans="1:8" x14ac:dyDescent="0.35">
      <c r="A256" s="2">
        <v>116</v>
      </c>
      <c r="B256" s="5" t="s">
        <v>256</v>
      </c>
      <c r="C256" s="2">
        <f>VLOOKUP(B256:B514,Sheet4!A:B,2,0)</f>
        <v>1092</v>
      </c>
      <c r="D256" s="2">
        <v>437</v>
      </c>
      <c r="E256" s="2">
        <v>171</v>
      </c>
      <c r="F256" s="2">
        <v>0</v>
      </c>
      <c r="G256" s="2">
        <v>0</v>
      </c>
      <c r="H256" s="2">
        <v>702</v>
      </c>
    </row>
    <row r="257" spans="1:8" x14ac:dyDescent="0.35">
      <c r="A257" s="2">
        <v>149</v>
      </c>
      <c r="B257" s="5" t="s">
        <v>257</v>
      </c>
      <c r="C257" s="2">
        <f>VLOOKUP(B257:B515,Sheet4!A:B,2,0)</f>
        <v>303</v>
      </c>
      <c r="D257" s="2">
        <v>66</v>
      </c>
      <c r="E257" s="2">
        <v>111</v>
      </c>
      <c r="F257" s="2">
        <v>34</v>
      </c>
      <c r="G257" s="2">
        <v>0</v>
      </c>
      <c r="H257" s="2">
        <v>214</v>
      </c>
    </row>
    <row r="258" spans="1:8" x14ac:dyDescent="0.35">
      <c r="A258" s="2">
        <v>155</v>
      </c>
      <c r="B258" s="5" t="s">
        <v>258</v>
      </c>
      <c r="C258" s="2">
        <f>VLOOKUP(B258:B516,Sheet4!A:B,2,0)</f>
        <v>60</v>
      </c>
      <c r="D258" s="2">
        <v>11</v>
      </c>
      <c r="E258" s="2">
        <v>43</v>
      </c>
      <c r="F258" s="2">
        <v>2</v>
      </c>
      <c r="G258" s="2">
        <v>1</v>
      </c>
      <c r="H258" s="2">
        <v>60</v>
      </c>
    </row>
    <row r="259" spans="1:8" x14ac:dyDescent="0.35">
      <c r="A259" s="2">
        <v>156</v>
      </c>
      <c r="B259" s="5" t="s">
        <v>259</v>
      </c>
      <c r="C259" s="2">
        <f>VLOOKUP(B259:B517,Sheet4!A:B,2,0)</f>
        <v>929</v>
      </c>
      <c r="D259" s="2">
        <v>126</v>
      </c>
      <c r="E259" s="2">
        <v>274</v>
      </c>
      <c r="F259" s="2">
        <v>81</v>
      </c>
      <c r="G259" s="2">
        <v>0</v>
      </c>
      <c r="H259" s="2">
        <v>481</v>
      </c>
    </row>
    <row r="260" spans="1:8" x14ac:dyDescent="0.35">
      <c r="A260" s="2">
        <v>194</v>
      </c>
      <c r="B260" s="5" t="s">
        <v>260</v>
      </c>
      <c r="C260" s="2">
        <f>VLOOKUP(B260:B518,Sheet4!A:B,2,0)</f>
        <v>693</v>
      </c>
      <c r="D260" s="2">
        <v>265</v>
      </c>
      <c r="E260" s="2">
        <v>325</v>
      </c>
      <c r="F260" s="2">
        <v>24</v>
      </c>
      <c r="G260" s="2">
        <v>1</v>
      </c>
      <c r="H260" s="2">
        <v>624</v>
      </c>
    </row>
    <row r="261" spans="1:8" x14ac:dyDescent="0.35">
      <c r="A261" s="3"/>
      <c r="B261" s="5" t="s">
        <v>1</v>
      </c>
      <c r="C261" s="2">
        <f>SUM(C2:C260)</f>
        <v>175235</v>
      </c>
      <c r="D261" s="2">
        <f t="shared" ref="D261:H261" si="0">SUM(D2:D260)</f>
        <v>40916</v>
      </c>
      <c r="E261" s="2">
        <f t="shared" si="0"/>
        <v>77763</v>
      </c>
      <c r="F261" s="2">
        <f t="shared" si="0"/>
        <v>5661</v>
      </c>
      <c r="G261" s="2">
        <f t="shared" si="0"/>
        <v>488</v>
      </c>
      <c r="H261" s="2">
        <f t="shared" si="0"/>
        <v>131963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9"/>
  <sheetViews>
    <sheetView workbookViewId="0">
      <selection activeCell="D9" sqref="D9"/>
    </sheetView>
  </sheetViews>
  <sheetFormatPr defaultRowHeight="14.5" x14ac:dyDescent="0.35"/>
  <sheetData>
    <row r="1" spans="1:2" x14ac:dyDescent="0.35">
      <c r="A1" t="s">
        <v>26</v>
      </c>
      <c r="B1">
        <v>420</v>
      </c>
    </row>
    <row r="2" spans="1:2" x14ac:dyDescent="0.35">
      <c r="A2" t="s">
        <v>313</v>
      </c>
      <c r="B2">
        <v>2023</v>
      </c>
    </row>
    <row r="3" spans="1:2" x14ac:dyDescent="0.35">
      <c r="A3" t="s">
        <v>314</v>
      </c>
      <c r="B3">
        <v>611</v>
      </c>
    </row>
    <row r="4" spans="1:2" x14ac:dyDescent="0.35">
      <c r="A4" t="s">
        <v>315</v>
      </c>
      <c r="B4">
        <v>468</v>
      </c>
    </row>
    <row r="5" spans="1:2" x14ac:dyDescent="0.35">
      <c r="A5" t="s">
        <v>316</v>
      </c>
      <c r="B5">
        <v>377</v>
      </c>
    </row>
    <row r="6" spans="1:2" x14ac:dyDescent="0.35">
      <c r="A6" t="s">
        <v>317</v>
      </c>
      <c r="B6">
        <v>815</v>
      </c>
    </row>
    <row r="7" spans="1:2" x14ac:dyDescent="0.35">
      <c r="A7" t="s">
        <v>318</v>
      </c>
      <c r="B7">
        <v>107</v>
      </c>
    </row>
    <row r="8" spans="1:2" x14ac:dyDescent="0.35">
      <c r="A8" t="s">
        <v>319</v>
      </c>
      <c r="B8">
        <v>207</v>
      </c>
    </row>
    <row r="9" spans="1:2" x14ac:dyDescent="0.35">
      <c r="A9" t="s">
        <v>320</v>
      </c>
      <c r="B9">
        <v>329</v>
      </c>
    </row>
    <row r="10" spans="1:2" x14ac:dyDescent="0.35">
      <c r="A10" t="s">
        <v>321</v>
      </c>
      <c r="B10">
        <v>161</v>
      </c>
    </row>
    <row r="11" spans="1:2" x14ac:dyDescent="0.35">
      <c r="A11" t="s">
        <v>322</v>
      </c>
      <c r="B11">
        <v>229</v>
      </c>
    </row>
    <row r="12" spans="1:2" x14ac:dyDescent="0.35">
      <c r="A12" t="s">
        <v>323</v>
      </c>
      <c r="B12">
        <v>161</v>
      </c>
    </row>
    <row r="13" spans="1:2" x14ac:dyDescent="0.35">
      <c r="A13" t="s">
        <v>324</v>
      </c>
      <c r="B13">
        <v>865</v>
      </c>
    </row>
    <row r="14" spans="1:2" x14ac:dyDescent="0.35">
      <c r="A14" t="s">
        <v>325</v>
      </c>
      <c r="B14">
        <v>221</v>
      </c>
    </row>
    <row r="15" spans="1:2" x14ac:dyDescent="0.35">
      <c r="A15" t="s">
        <v>326</v>
      </c>
      <c r="B15">
        <v>815</v>
      </c>
    </row>
    <row r="16" spans="1:2" x14ac:dyDescent="0.35">
      <c r="A16" t="s">
        <v>327</v>
      </c>
      <c r="B16">
        <v>363</v>
      </c>
    </row>
    <row r="17" spans="1:2" x14ac:dyDescent="0.35">
      <c r="A17" t="s">
        <v>328</v>
      </c>
      <c r="B17">
        <v>316</v>
      </c>
    </row>
    <row r="18" spans="1:2" x14ac:dyDescent="0.35">
      <c r="A18" t="s">
        <v>329</v>
      </c>
      <c r="B18">
        <v>1449</v>
      </c>
    </row>
    <row r="19" spans="1:2" x14ac:dyDescent="0.35">
      <c r="A19" t="s">
        <v>330</v>
      </c>
      <c r="B19">
        <v>717</v>
      </c>
    </row>
    <row r="20" spans="1:2" x14ac:dyDescent="0.35">
      <c r="A20" t="s">
        <v>331</v>
      </c>
      <c r="B20">
        <v>1845</v>
      </c>
    </row>
    <row r="21" spans="1:2" x14ac:dyDescent="0.35">
      <c r="A21" t="s">
        <v>332</v>
      </c>
      <c r="B21">
        <v>179</v>
      </c>
    </row>
    <row r="22" spans="1:2" x14ac:dyDescent="0.35">
      <c r="A22" t="s">
        <v>333</v>
      </c>
      <c r="B22">
        <v>268</v>
      </c>
    </row>
    <row r="23" spans="1:2" x14ac:dyDescent="0.35">
      <c r="A23" t="s">
        <v>84</v>
      </c>
      <c r="B23">
        <v>108</v>
      </c>
    </row>
    <row r="24" spans="1:2" x14ac:dyDescent="0.35">
      <c r="A24" t="s">
        <v>334</v>
      </c>
      <c r="B24">
        <v>1310</v>
      </c>
    </row>
    <row r="25" spans="1:2" x14ac:dyDescent="0.35">
      <c r="A25" t="s">
        <v>17</v>
      </c>
      <c r="B25">
        <v>312</v>
      </c>
    </row>
    <row r="26" spans="1:2" x14ac:dyDescent="0.35">
      <c r="A26" t="s">
        <v>335</v>
      </c>
      <c r="B26">
        <v>1397</v>
      </c>
    </row>
    <row r="27" spans="1:2" x14ac:dyDescent="0.35">
      <c r="A27" t="s">
        <v>101</v>
      </c>
      <c r="B27">
        <v>197</v>
      </c>
    </row>
    <row r="28" spans="1:2" x14ac:dyDescent="0.35">
      <c r="A28" t="s">
        <v>336</v>
      </c>
      <c r="B28">
        <v>297</v>
      </c>
    </row>
    <row r="29" spans="1:2" x14ac:dyDescent="0.35">
      <c r="A29" t="s">
        <v>66</v>
      </c>
      <c r="B29">
        <v>202</v>
      </c>
    </row>
    <row r="30" spans="1:2" x14ac:dyDescent="0.35">
      <c r="A30" t="s">
        <v>337</v>
      </c>
      <c r="B30">
        <v>557</v>
      </c>
    </row>
    <row r="31" spans="1:2" x14ac:dyDescent="0.35">
      <c r="A31" t="s">
        <v>338</v>
      </c>
      <c r="B31">
        <v>436</v>
      </c>
    </row>
    <row r="32" spans="1:2" x14ac:dyDescent="0.35">
      <c r="A32" t="s">
        <v>339</v>
      </c>
      <c r="B32">
        <v>118</v>
      </c>
    </row>
    <row r="33" spans="1:2" x14ac:dyDescent="0.35">
      <c r="A33" t="s">
        <v>340</v>
      </c>
      <c r="B33">
        <v>294</v>
      </c>
    </row>
    <row r="34" spans="1:2" x14ac:dyDescent="0.35">
      <c r="A34" t="s">
        <v>341</v>
      </c>
      <c r="B34">
        <v>74</v>
      </c>
    </row>
    <row r="35" spans="1:2" x14ac:dyDescent="0.35">
      <c r="A35" t="s">
        <v>342</v>
      </c>
      <c r="B35">
        <v>604</v>
      </c>
    </row>
    <row r="36" spans="1:2" x14ac:dyDescent="0.35">
      <c r="A36" t="s">
        <v>122</v>
      </c>
      <c r="B36">
        <v>814</v>
      </c>
    </row>
    <row r="37" spans="1:2" x14ac:dyDescent="0.35">
      <c r="A37" t="s">
        <v>343</v>
      </c>
      <c r="B37">
        <v>187</v>
      </c>
    </row>
    <row r="38" spans="1:2" x14ac:dyDescent="0.35">
      <c r="A38" t="s">
        <v>23</v>
      </c>
      <c r="B38">
        <v>1507</v>
      </c>
    </row>
    <row r="39" spans="1:2" x14ac:dyDescent="0.35">
      <c r="A39" t="s">
        <v>344</v>
      </c>
      <c r="B39">
        <v>230</v>
      </c>
    </row>
    <row r="40" spans="1:2" x14ac:dyDescent="0.35">
      <c r="A40" t="s">
        <v>345</v>
      </c>
      <c r="B40">
        <v>320</v>
      </c>
    </row>
    <row r="41" spans="1:2" x14ac:dyDescent="0.35">
      <c r="A41" t="s">
        <v>346</v>
      </c>
      <c r="B41">
        <v>951</v>
      </c>
    </row>
    <row r="42" spans="1:2" x14ac:dyDescent="0.35">
      <c r="A42" t="s">
        <v>347</v>
      </c>
      <c r="B42">
        <v>541</v>
      </c>
    </row>
    <row r="43" spans="1:2" x14ac:dyDescent="0.35">
      <c r="A43" t="s">
        <v>348</v>
      </c>
      <c r="B43">
        <v>802</v>
      </c>
    </row>
    <row r="44" spans="1:2" x14ac:dyDescent="0.35">
      <c r="A44" t="s">
        <v>349</v>
      </c>
      <c r="B44">
        <v>508</v>
      </c>
    </row>
    <row r="45" spans="1:2" x14ac:dyDescent="0.35">
      <c r="A45" t="s">
        <v>350</v>
      </c>
      <c r="B45">
        <v>346</v>
      </c>
    </row>
    <row r="46" spans="1:2" x14ac:dyDescent="0.35">
      <c r="A46" t="s">
        <v>351</v>
      </c>
      <c r="B46">
        <v>547</v>
      </c>
    </row>
    <row r="47" spans="1:2" x14ac:dyDescent="0.35">
      <c r="A47" t="s">
        <v>352</v>
      </c>
      <c r="B47">
        <v>792</v>
      </c>
    </row>
    <row r="48" spans="1:2" x14ac:dyDescent="0.35">
      <c r="A48" t="s">
        <v>353</v>
      </c>
      <c r="B48">
        <v>347</v>
      </c>
    </row>
    <row r="49" spans="1:2" x14ac:dyDescent="0.35">
      <c r="A49" t="s">
        <v>354</v>
      </c>
      <c r="B49">
        <v>1648</v>
      </c>
    </row>
    <row r="50" spans="1:2" x14ac:dyDescent="0.35">
      <c r="A50" t="s">
        <v>355</v>
      </c>
      <c r="B50">
        <v>720</v>
      </c>
    </row>
    <row r="51" spans="1:2" x14ac:dyDescent="0.35">
      <c r="A51" t="s">
        <v>356</v>
      </c>
      <c r="B51">
        <v>1933</v>
      </c>
    </row>
    <row r="52" spans="1:2" x14ac:dyDescent="0.35">
      <c r="A52" t="s">
        <v>357</v>
      </c>
      <c r="B52">
        <v>816</v>
      </c>
    </row>
    <row r="53" spans="1:2" x14ac:dyDescent="0.35">
      <c r="A53" t="s">
        <v>358</v>
      </c>
      <c r="B53">
        <v>179</v>
      </c>
    </row>
    <row r="54" spans="1:2" x14ac:dyDescent="0.35">
      <c r="A54" t="s">
        <v>359</v>
      </c>
      <c r="B54">
        <v>120</v>
      </c>
    </row>
    <row r="55" spans="1:2" x14ac:dyDescent="0.35">
      <c r="A55" t="s">
        <v>360</v>
      </c>
      <c r="B55">
        <v>838</v>
      </c>
    </row>
    <row r="56" spans="1:2" x14ac:dyDescent="0.35">
      <c r="A56" t="s">
        <v>361</v>
      </c>
      <c r="B56">
        <v>213</v>
      </c>
    </row>
    <row r="57" spans="1:2" x14ac:dyDescent="0.35">
      <c r="A57" t="s">
        <v>362</v>
      </c>
      <c r="B57">
        <v>4137</v>
      </c>
    </row>
    <row r="58" spans="1:2" x14ac:dyDescent="0.35">
      <c r="A58" t="s">
        <v>363</v>
      </c>
      <c r="B58">
        <v>596</v>
      </c>
    </row>
    <row r="59" spans="1:2" x14ac:dyDescent="0.35">
      <c r="A59" t="s">
        <v>364</v>
      </c>
      <c r="B59">
        <v>246</v>
      </c>
    </row>
    <row r="60" spans="1:2" x14ac:dyDescent="0.35">
      <c r="A60" t="s">
        <v>42</v>
      </c>
      <c r="B60">
        <v>348</v>
      </c>
    </row>
    <row r="61" spans="1:2" x14ac:dyDescent="0.35">
      <c r="A61" t="s">
        <v>365</v>
      </c>
      <c r="B61">
        <v>1188</v>
      </c>
    </row>
    <row r="62" spans="1:2" x14ac:dyDescent="0.35">
      <c r="A62" t="s">
        <v>187</v>
      </c>
      <c r="B62">
        <v>529</v>
      </c>
    </row>
    <row r="63" spans="1:2" x14ac:dyDescent="0.35">
      <c r="A63" t="s">
        <v>366</v>
      </c>
      <c r="B63">
        <v>85</v>
      </c>
    </row>
    <row r="64" spans="1:2" x14ac:dyDescent="0.35">
      <c r="A64" t="s">
        <v>367</v>
      </c>
      <c r="B64">
        <v>170</v>
      </c>
    </row>
    <row r="65" spans="1:2" x14ac:dyDescent="0.35">
      <c r="A65" t="s">
        <v>368</v>
      </c>
      <c r="B65">
        <v>807</v>
      </c>
    </row>
    <row r="66" spans="1:2" x14ac:dyDescent="0.35">
      <c r="A66" t="s">
        <v>369</v>
      </c>
      <c r="B66">
        <v>212</v>
      </c>
    </row>
    <row r="67" spans="1:2" x14ac:dyDescent="0.35">
      <c r="A67" t="s">
        <v>370</v>
      </c>
      <c r="B67">
        <v>376</v>
      </c>
    </row>
    <row r="68" spans="1:2" x14ac:dyDescent="0.35">
      <c r="A68" t="s">
        <v>371</v>
      </c>
      <c r="B68">
        <v>181</v>
      </c>
    </row>
    <row r="69" spans="1:2" x14ac:dyDescent="0.35">
      <c r="A69" t="s">
        <v>372</v>
      </c>
      <c r="B69">
        <v>1376</v>
      </c>
    </row>
    <row r="70" spans="1:2" x14ac:dyDescent="0.35">
      <c r="A70" t="s">
        <v>373</v>
      </c>
      <c r="B70">
        <v>950</v>
      </c>
    </row>
    <row r="71" spans="1:2" x14ac:dyDescent="0.35">
      <c r="A71" t="s">
        <v>12</v>
      </c>
      <c r="B71">
        <v>1309</v>
      </c>
    </row>
    <row r="72" spans="1:2" x14ac:dyDescent="0.35">
      <c r="A72" t="s">
        <v>374</v>
      </c>
      <c r="B72">
        <v>619</v>
      </c>
    </row>
    <row r="73" spans="1:2" x14ac:dyDescent="0.35">
      <c r="A73" t="s">
        <v>375</v>
      </c>
      <c r="B73">
        <v>161</v>
      </c>
    </row>
    <row r="74" spans="1:2" x14ac:dyDescent="0.35">
      <c r="A74" t="s">
        <v>376</v>
      </c>
      <c r="B74">
        <v>135</v>
      </c>
    </row>
    <row r="75" spans="1:2" x14ac:dyDescent="0.35">
      <c r="A75" t="s">
        <v>377</v>
      </c>
      <c r="B75">
        <v>664</v>
      </c>
    </row>
    <row r="76" spans="1:2" x14ac:dyDescent="0.35">
      <c r="A76" t="s">
        <v>378</v>
      </c>
      <c r="B76">
        <v>525</v>
      </c>
    </row>
    <row r="77" spans="1:2" x14ac:dyDescent="0.35">
      <c r="A77" t="s">
        <v>379</v>
      </c>
      <c r="B77">
        <v>131</v>
      </c>
    </row>
    <row r="78" spans="1:2" x14ac:dyDescent="0.35">
      <c r="A78" t="s">
        <v>197</v>
      </c>
      <c r="B78">
        <v>203</v>
      </c>
    </row>
    <row r="79" spans="1:2" x14ac:dyDescent="0.35">
      <c r="A79" t="s">
        <v>380</v>
      </c>
      <c r="B79">
        <v>649</v>
      </c>
    </row>
    <row r="80" spans="1:2" x14ac:dyDescent="0.35">
      <c r="A80" t="s">
        <v>381</v>
      </c>
      <c r="B80">
        <v>372</v>
      </c>
    </row>
    <row r="81" spans="1:2" x14ac:dyDescent="0.35">
      <c r="A81" t="s">
        <v>382</v>
      </c>
      <c r="B81">
        <v>35</v>
      </c>
    </row>
    <row r="82" spans="1:2" x14ac:dyDescent="0.35">
      <c r="A82" t="s">
        <v>383</v>
      </c>
      <c r="B82">
        <v>561</v>
      </c>
    </row>
    <row r="83" spans="1:2" x14ac:dyDescent="0.35">
      <c r="A83" t="s">
        <v>384</v>
      </c>
      <c r="B83">
        <v>650</v>
      </c>
    </row>
    <row r="84" spans="1:2" x14ac:dyDescent="0.35">
      <c r="A84" t="s">
        <v>385</v>
      </c>
      <c r="B84">
        <v>524</v>
      </c>
    </row>
    <row r="85" spans="1:2" x14ac:dyDescent="0.35">
      <c r="A85" t="s">
        <v>386</v>
      </c>
      <c r="B85">
        <v>109</v>
      </c>
    </row>
    <row r="86" spans="1:2" x14ac:dyDescent="0.35">
      <c r="A86" t="s">
        <v>387</v>
      </c>
      <c r="B86">
        <v>1186</v>
      </c>
    </row>
    <row r="87" spans="1:2" x14ac:dyDescent="0.35">
      <c r="A87" t="s">
        <v>388</v>
      </c>
      <c r="B87">
        <v>1471</v>
      </c>
    </row>
    <row r="88" spans="1:2" x14ac:dyDescent="0.35">
      <c r="A88" t="s">
        <v>51</v>
      </c>
      <c r="B88">
        <v>1443</v>
      </c>
    </row>
    <row r="89" spans="1:2" x14ac:dyDescent="0.35">
      <c r="A89" t="s">
        <v>389</v>
      </c>
      <c r="B89">
        <v>160</v>
      </c>
    </row>
    <row r="90" spans="1:2" x14ac:dyDescent="0.35">
      <c r="A90" t="s">
        <v>390</v>
      </c>
      <c r="B90">
        <v>1441</v>
      </c>
    </row>
    <row r="91" spans="1:2" x14ac:dyDescent="0.35">
      <c r="A91" t="s">
        <v>391</v>
      </c>
      <c r="B91">
        <v>333</v>
      </c>
    </row>
    <row r="92" spans="1:2" x14ac:dyDescent="0.35">
      <c r="A92" t="s">
        <v>392</v>
      </c>
      <c r="B92">
        <v>1128</v>
      </c>
    </row>
    <row r="93" spans="1:2" x14ac:dyDescent="0.35">
      <c r="A93" t="s">
        <v>393</v>
      </c>
      <c r="B93">
        <v>212</v>
      </c>
    </row>
    <row r="94" spans="1:2" x14ac:dyDescent="0.35">
      <c r="A94" t="s">
        <v>394</v>
      </c>
      <c r="B94">
        <v>262</v>
      </c>
    </row>
    <row r="95" spans="1:2" x14ac:dyDescent="0.35">
      <c r="A95" t="s">
        <v>395</v>
      </c>
      <c r="B95">
        <v>812</v>
      </c>
    </row>
    <row r="96" spans="1:2" x14ac:dyDescent="0.35">
      <c r="A96" t="s">
        <v>396</v>
      </c>
      <c r="B96">
        <v>430</v>
      </c>
    </row>
    <row r="97" spans="1:2" x14ac:dyDescent="0.35">
      <c r="A97" t="s">
        <v>397</v>
      </c>
      <c r="B97">
        <v>745</v>
      </c>
    </row>
    <row r="98" spans="1:2" x14ac:dyDescent="0.35">
      <c r="A98" t="s">
        <v>398</v>
      </c>
      <c r="B98">
        <v>1708</v>
      </c>
    </row>
    <row r="99" spans="1:2" x14ac:dyDescent="0.35">
      <c r="A99" t="s">
        <v>399</v>
      </c>
      <c r="B99">
        <v>260</v>
      </c>
    </row>
    <row r="100" spans="1:2" x14ac:dyDescent="0.35">
      <c r="A100" t="s">
        <v>400</v>
      </c>
      <c r="B100">
        <v>261</v>
      </c>
    </row>
    <row r="101" spans="1:2" x14ac:dyDescent="0.35">
      <c r="A101" t="s">
        <v>79</v>
      </c>
      <c r="B101">
        <v>504</v>
      </c>
    </row>
    <row r="102" spans="1:2" x14ac:dyDescent="0.35">
      <c r="A102" t="s">
        <v>401</v>
      </c>
      <c r="B102">
        <v>168</v>
      </c>
    </row>
    <row r="103" spans="1:2" x14ac:dyDescent="0.35">
      <c r="A103" t="s">
        <v>402</v>
      </c>
      <c r="B103">
        <v>320</v>
      </c>
    </row>
    <row r="104" spans="1:2" x14ac:dyDescent="0.35">
      <c r="A104" t="s">
        <v>403</v>
      </c>
      <c r="B104">
        <v>400</v>
      </c>
    </row>
    <row r="105" spans="1:2" x14ac:dyDescent="0.35">
      <c r="A105" t="s">
        <v>404</v>
      </c>
      <c r="B105">
        <v>218</v>
      </c>
    </row>
    <row r="106" spans="1:2" x14ac:dyDescent="0.35">
      <c r="A106" t="s">
        <v>405</v>
      </c>
      <c r="B106">
        <v>750</v>
      </c>
    </row>
    <row r="107" spans="1:2" x14ac:dyDescent="0.35">
      <c r="A107" t="s">
        <v>406</v>
      </c>
      <c r="B107">
        <v>1532</v>
      </c>
    </row>
    <row r="108" spans="1:2" x14ac:dyDescent="0.35">
      <c r="A108" t="s">
        <v>407</v>
      </c>
      <c r="B108">
        <v>56</v>
      </c>
    </row>
    <row r="109" spans="1:2" x14ac:dyDescent="0.35">
      <c r="A109" t="s">
        <v>408</v>
      </c>
      <c r="B109">
        <v>409</v>
      </c>
    </row>
    <row r="110" spans="1:2" x14ac:dyDescent="0.35">
      <c r="A110" t="s">
        <v>409</v>
      </c>
      <c r="B110">
        <v>521</v>
      </c>
    </row>
    <row r="111" spans="1:2" x14ac:dyDescent="0.35">
      <c r="A111" t="s">
        <v>410</v>
      </c>
      <c r="B111">
        <v>358</v>
      </c>
    </row>
    <row r="112" spans="1:2" x14ac:dyDescent="0.35">
      <c r="A112" t="s">
        <v>411</v>
      </c>
      <c r="B112">
        <v>2545</v>
      </c>
    </row>
    <row r="113" spans="1:2" x14ac:dyDescent="0.35">
      <c r="A113" t="s">
        <v>118</v>
      </c>
      <c r="B113">
        <v>161</v>
      </c>
    </row>
    <row r="114" spans="1:2" x14ac:dyDescent="0.35">
      <c r="A114" t="s">
        <v>412</v>
      </c>
      <c r="B114">
        <v>141</v>
      </c>
    </row>
    <row r="115" spans="1:2" x14ac:dyDescent="0.35">
      <c r="A115" t="s">
        <v>236</v>
      </c>
      <c r="B115">
        <v>2256</v>
      </c>
    </row>
    <row r="116" spans="1:2" x14ac:dyDescent="0.35">
      <c r="A116" t="s">
        <v>413</v>
      </c>
      <c r="B116">
        <v>1092</v>
      </c>
    </row>
    <row r="117" spans="1:2" x14ac:dyDescent="0.35">
      <c r="A117" t="s">
        <v>414</v>
      </c>
      <c r="B117">
        <v>1360</v>
      </c>
    </row>
    <row r="118" spans="1:2" x14ac:dyDescent="0.35">
      <c r="A118" t="s">
        <v>415</v>
      </c>
      <c r="B118">
        <v>338</v>
      </c>
    </row>
    <row r="119" spans="1:2" x14ac:dyDescent="0.35">
      <c r="A119" t="s">
        <v>416</v>
      </c>
      <c r="B119">
        <v>876</v>
      </c>
    </row>
    <row r="120" spans="1:2" x14ac:dyDescent="0.35">
      <c r="A120" t="s">
        <v>417</v>
      </c>
      <c r="B120">
        <v>639</v>
      </c>
    </row>
    <row r="121" spans="1:2" x14ac:dyDescent="0.35">
      <c r="A121" t="s">
        <v>4</v>
      </c>
      <c r="B121">
        <v>659</v>
      </c>
    </row>
    <row r="122" spans="1:2" x14ac:dyDescent="0.35">
      <c r="A122" t="s">
        <v>418</v>
      </c>
      <c r="B122">
        <v>249</v>
      </c>
    </row>
    <row r="123" spans="1:2" x14ac:dyDescent="0.35">
      <c r="A123" t="s">
        <v>419</v>
      </c>
      <c r="B123">
        <v>245</v>
      </c>
    </row>
    <row r="124" spans="1:2" x14ac:dyDescent="0.35">
      <c r="A124" t="s">
        <v>420</v>
      </c>
      <c r="B124">
        <v>233</v>
      </c>
    </row>
    <row r="125" spans="1:2" x14ac:dyDescent="0.35">
      <c r="A125" t="s">
        <v>421</v>
      </c>
      <c r="B125">
        <v>875</v>
      </c>
    </row>
    <row r="126" spans="1:2" x14ac:dyDescent="0.35">
      <c r="A126" t="s">
        <v>422</v>
      </c>
      <c r="B126">
        <v>339</v>
      </c>
    </row>
    <row r="127" spans="1:2" x14ac:dyDescent="0.35">
      <c r="A127" t="s">
        <v>198</v>
      </c>
      <c r="B127">
        <v>453</v>
      </c>
    </row>
    <row r="128" spans="1:2" x14ac:dyDescent="0.35">
      <c r="A128" t="s">
        <v>190</v>
      </c>
      <c r="B128">
        <v>316</v>
      </c>
    </row>
    <row r="129" spans="1:2" x14ac:dyDescent="0.35">
      <c r="A129" t="s">
        <v>423</v>
      </c>
      <c r="B129">
        <v>690</v>
      </c>
    </row>
    <row r="130" spans="1:2" x14ac:dyDescent="0.35">
      <c r="A130" t="s">
        <v>424</v>
      </c>
      <c r="B130">
        <v>664</v>
      </c>
    </row>
    <row r="131" spans="1:2" x14ac:dyDescent="0.35">
      <c r="A131" t="s">
        <v>425</v>
      </c>
      <c r="B131">
        <v>395</v>
      </c>
    </row>
    <row r="132" spans="1:2" x14ac:dyDescent="0.35">
      <c r="A132" t="s">
        <v>426</v>
      </c>
      <c r="B132">
        <v>200</v>
      </c>
    </row>
    <row r="133" spans="1:2" x14ac:dyDescent="0.35">
      <c r="A133" t="s">
        <v>427</v>
      </c>
      <c r="B133">
        <v>239</v>
      </c>
    </row>
    <row r="134" spans="1:2" x14ac:dyDescent="0.35">
      <c r="A134" t="s">
        <v>428</v>
      </c>
      <c r="B134">
        <v>63</v>
      </c>
    </row>
    <row r="135" spans="1:2" x14ac:dyDescent="0.35">
      <c r="A135" t="s">
        <v>429</v>
      </c>
      <c r="B135">
        <v>458</v>
      </c>
    </row>
    <row r="136" spans="1:2" x14ac:dyDescent="0.35">
      <c r="A136" t="s">
        <v>430</v>
      </c>
      <c r="B136">
        <v>224</v>
      </c>
    </row>
    <row r="137" spans="1:2" x14ac:dyDescent="0.35">
      <c r="A137" t="s">
        <v>431</v>
      </c>
      <c r="B137">
        <v>325</v>
      </c>
    </row>
    <row r="138" spans="1:2" x14ac:dyDescent="0.35">
      <c r="A138" t="s">
        <v>432</v>
      </c>
      <c r="B138">
        <v>323</v>
      </c>
    </row>
    <row r="139" spans="1:2" x14ac:dyDescent="0.35">
      <c r="A139" t="s">
        <v>433</v>
      </c>
      <c r="B139">
        <v>61</v>
      </c>
    </row>
    <row r="140" spans="1:2" x14ac:dyDescent="0.35">
      <c r="A140" t="s">
        <v>434</v>
      </c>
      <c r="B140">
        <v>206</v>
      </c>
    </row>
    <row r="141" spans="1:2" x14ac:dyDescent="0.35">
      <c r="A141" t="s">
        <v>222</v>
      </c>
      <c r="B141">
        <v>20</v>
      </c>
    </row>
    <row r="142" spans="1:2" x14ac:dyDescent="0.35">
      <c r="A142" t="s">
        <v>88</v>
      </c>
      <c r="B142">
        <v>317</v>
      </c>
    </row>
    <row r="143" spans="1:2" x14ac:dyDescent="0.35">
      <c r="A143" t="s">
        <v>435</v>
      </c>
      <c r="B143">
        <v>228</v>
      </c>
    </row>
    <row r="144" spans="1:2" x14ac:dyDescent="0.35">
      <c r="A144" t="s">
        <v>436</v>
      </c>
      <c r="B144">
        <v>431</v>
      </c>
    </row>
    <row r="145" spans="1:2" x14ac:dyDescent="0.35">
      <c r="A145" t="s">
        <v>437</v>
      </c>
      <c r="B145">
        <v>228</v>
      </c>
    </row>
    <row r="146" spans="1:2" x14ac:dyDescent="0.35">
      <c r="A146" t="s">
        <v>438</v>
      </c>
      <c r="B146">
        <v>42</v>
      </c>
    </row>
    <row r="147" spans="1:2" x14ac:dyDescent="0.35">
      <c r="A147" t="s">
        <v>439</v>
      </c>
      <c r="B147">
        <v>621</v>
      </c>
    </row>
    <row r="148" spans="1:2" x14ac:dyDescent="0.35">
      <c r="A148" t="s">
        <v>440</v>
      </c>
      <c r="B148">
        <v>916</v>
      </c>
    </row>
    <row r="149" spans="1:2" x14ac:dyDescent="0.35">
      <c r="A149" t="s">
        <v>441</v>
      </c>
      <c r="B149">
        <v>303</v>
      </c>
    </row>
    <row r="150" spans="1:2" x14ac:dyDescent="0.35">
      <c r="A150" t="s">
        <v>442</v>
      </c>
      <c r="B150">
        <v>524</v>
      </c>
    </row>
    <row r="151" spans="1:2" x14ac:dyDescent="0.35">
      <c r="A151" t="s">
        <v>443</v>
      </c>
      <c r="B151">
        <v>1254</v>
      </c>
    </row>
    <row r="152" spans="1:2" x14ac:dyDescent="0.35">
      <c r="A152" t="s">
        <v>444</v>
      </c>
      <c r="B152">
        <v>685</v>
      </c>
    </row>
    <row r="153" spans="1:2" x14ac:dyDescent="0.35">
      <c r="A153" t="s">
        <v>445</v>
      </c>
      <c r="B153">
        <v>2417</v>
      </c>
    </row>
    <row r="154" spans="1:2" x14ac:dyDescent="0.35">
      <c r="A154" t="s">
        <v>446</v>
      </c>
      <c r="B154">
        <v>240</v>
      </c>
    </row>
    <row r="155" spans="1:2" x14ac:dyDescent="0.35">
      <c r="A155" t="s">
        <v>447</v>
      </c>
      <c r="B155">
        <v>60</v>
      </c>
    </row>
    <row r="156" spans="1:2" x14ac:dyDescent="0.35">
      <c r="A156" t="s">
        <v>448</v>
      </c>
      <c r="B156">
        <v>929</v>
      </c>
    </row>
    <row r="157" spans="1:2" x14ac:dyDescent="0.35">
      <c r="A157" t="s">
        <v>449</v>
      </c>
      <c r="B157">
        <v>201</v>
      </c>
    </row>
    <row r="158" spans="1:2" x14ac:dyDescent="0.35">
      <c r="A158" t="s">
        <v>450</v>
      </c>
      <c r="B158">
        <v>938</v>
      </c>
    </row>
    <row r="159" spans="1:2" x14ac:dyDescent="0.35">
      <c r="A159" t="s">
        <v>451</v>
      </c>
      <c r="B159">
        <v>445</v>
      </c>
    </row>
    <row r="160" spans="1:2" x14ac:dyDescent="0.35">
      <c r="A160" t="s">
        <v>452</v>
      </c>
      <c r="B160">
        <v>148</v>
      </c>
    </row>
    <row r="161" spans="1:2" x14ac:dyDescent="0.35">
      <c r="A161" t="s">
        <v>453</v>
      </c>
      <c r="B161">
        <v>671</v>
      </c>
    </row>
    <row r="162" spans="1:2" x14ac:dyDescent="0.35">
      <c r="A162" t="s">
        <v>454</v>
      </c>
      <c r="B162">
        <v>409</v>
      </c>
    </row>
    <row r="163" spans="1:2" x14ac:dyDescent="0.35">
      <c r="A163" t="s">
        <v>455</v>
      </c>
      <c r="B163">
        <v>768</v>
      </c>
    </row>
    <row r="164" spans="1:2" x14ac:dyDescent="0.35">
      <c r="A164" t="s">
        <v>456</v>
      </c>
      <c r="B164">
        <v>523</v>
      </c>
    </row>
    <row r="165" spans="1:2" x14ac:dyDescent="0.35">
      <c r="A165" t="s">
        <v>457</v>
      </c>
      <c r="B165">
        <v>494</v>
      </c>
    </row>
    <row r="166" spans="1:2" x14ac:dyDescent="0.35">
      <c r="A166" t="s">
        <v>126</v>
      </c>
      <c r="B166">
        <v>858</v>
      </c>
    </row>
    <row r="167" spans="1:2" x14ac:dyDescent="0.35">
      <c r="A167" t="s">
        <v>70</v>
      </c>
      <c r="B167">
        <v>2081</v>
      </c>
    </row>
    <row r="168" spans="1:2" x14ac:dyDescent="0.35">
      <c r="A168" t="s">
        <v>191</v>
      </c>
      <c r="B168">
        <v>512</v>
      </c>
    </row>
    <row r="169" spans="1:2" x14ac:dyDescent="0.35">
      <c r="A169" t="s">
        <v>458</v>
      </c>
      <c r="B169">
        <v>210</v>
      </c>
    </row>
    <row r="170" spans="1:2" x14ac:dyDescent="0.35">
      <c r="A170" t="s">
        <v>459</v>
      </c>
      <c r="B170">
        <v>126</v>
      </c>
    </row>
    <row r="171" spans="1:2" x14ac:dyDescent="0.35">
      <c r="A171" t="s">
        <v>460</v>
      </c>
      <c r="B171">
        <v>1958</v>
      </c>
    </row>
    <row r="172" spans="1:2" x14ac:dyDescent="0.35">
      <c r="A172" t="s">
        <v>461</v>
      </c>
      <c r="B172">
        <v>1051</v>
      </c>
    </row>
    <row r="173" spans="1:2" x14ac:dyDescent="0.35">
      <c r="A173" t="s">
        <v>119</v>
      </c>
      <c r="B173">
        <v>301</v>
      </c>
    </row>
    <row r="174" spans="1:2" x14ac:dyDescent="0.35">
      <c r="A174" t="s">
        <v>128</v>
      </c>
      <c r="B174">
        <v>200</v>
      </c>
    </row>
    <row r="175" spans="1:2" x14ac:dyDescent="0.35">
      <c r="A175" t="s">
        <v>462</v>
      </c>
      <c r="B175">
        <v>165</v>
      </c>
    </row>
    <row r="176" spans="1:2" x14ac:dyDescent="0.35">
      <c r="A176" t="s">
        <v>212</v>
      </c>
      <c r="B176">
        <v>1569</v>
      </c>
    </row>
    <row r="177" spans="1:2" x14ac:dyDescent="0.35">
      <c r="A177" t="s">
        <v>463</v>
      </c>
      <c r="B177">
        <v>350</v>
      </c>
    </row>
    <row r="178" spans="1:2" x14ac:dyDescent="0.35">
      <c r="A178" t="s">
        <v>464</v>
      </c>
      <c r="B178">
        <v>283</v>
      </c>
    </row>
    <row r="179" spans="1:2" x14ac:dyDescent="0.35">
      <c r="A179" t="s">
        <v>465</v>
      </c>
      <c r="B179">
        <v>572</v>
      </c>
    </row>
    <row r="180" spans="1:2" x14ac:dyDescent="0.35">
      <c r="A180" t="s">
        <v>466</v>
      </c>
      <c r="B180">
        <v>82</v>
      </c>
    </row>
    <row r="181" spans="1:2" x14ac:dyDescent="0.35">
      <c r="A181" t="s">
        <v>6</v>
      </c>
      <c r="B181">
        <v>543</v>
      </c>
    </row>
    <row r="182" spans="1:2" x14ac:dyDescent="0.35">
      <c r="A182" t="s">
        <v>467</v>
      </c>
      <c r="B182">
        <v>154</v>
      </c>
    </row>
    <row r="183" spans="1:2" x14ac:dyDescent="0.35">
      <c r="A183" t="s">
        <v>468</v>
      </c>
      <c r="B183">
        <v>515</v>
      </c>
    </row>
    <row r="184" spans="1:2" x14ac:dyDescent="0.35">
      <c r="A184" t="s">
        <v>469</v>
      </c>
      <c r="B184">
        <v>386</v>
      </c>
    </row>
    <row r="185" spans="1:2" x14ac:dyDescent="0.35">
      <c r="A185" t="s">
        <v>470</v>
      </c>
      <c r="B185">
        <v>1401</v>
      </c>
    </row>
    <row r="186" spans="1:2" x14ac:dyDescent="0.35">
      <c r="A186" t="s">
        <v>471</v>
      </c>
      <c r="B186">
        <v>809</v>
      </c>
    </row>
    <row r="187" spans="1:2" x14ac:dyDescent="0.35">
      <c r="A187" t="s">
        <v>472</v>
      </c>
      <c r="B187">
        <v>236</v>
      </c>
    </row>
    <row r="188" spans="1:2" x14ac:dyDescent="0.35">
      <c r="A188" t="s">
        <v>473</v>
      </c>
      <c r="B188">
        <v>2328</v>
      </c>
    </row>
    <row r="189" spans="1:2" x14ac:dyDescent="0.35">
      <c r="A189" t="s">
        <v>474</v>
      </c>
      <c r="B189">
        <v>107</v>
      </c>
    </row>
    <row r="190" spans="1:2" x14ac:dyDescent="0.35">
      <c r="A190" t="s">
        <v>475</v>
      </c>
      <c r="B190">
        <v>46</v>
      </c>
    </row>
    <row r="191" spans="1:2" x14ac:dyDescent="0.35">
      <c r="A191" t="s">
        <v>476</v>
      </c>
      <c r="B191">
        <v>867</v>
      </c>
    </row>
    <row r="192" spans="1:2" x14ac:dyDescent="0.35">
      <c r="A192" t="s">
        <v>477</v>
      </c>
      <c r="B192">
        <v>1092</v>
      </c>
    </row>
    <row r="193" spans="1:2" x14ac:dyDescent="0.35">
      <c r="A193" t="s">
        <v>478</v>
      </c>
      <c r="B193">
        <v>693</v>
      </c>
    </row>
    <row r="194" spans="1:2" x14ac:dyDescent="0.35">
      <c r="A194" t="s">
        <v>479</v>
      </c>
      <c r="B194">
        <v>72</v>
      </c>
    </row>
    <row r="195" spans="1:2" x14ac:dyDescent="0.35">
      <c r="A195" t="s">
        <v>480</v>
      </c>
      <c r="B195">
        <v>1345</v>
      </c>
    </row>
    <row r="196" spans="1:2" x14ac:dyDescent="0.35">
      <c r="A196" t="s">
        <v>481</v>
      </c>
      <c r="B196">
        <v>648</v>
      </c>
    </row>
    <row r="197" spans="1:2" x14ac:dyDescent="0.35">
      <c r="A197" t="s">
        <v>482</v>
      </c>
      <c r="B197">
        <v>1145</v>
      </c>
    </row>
    <row r="198" spans="1:2" x14ac:dyDescent="0.35">
      <c r="A198" t="s">
        <v>483</v>
      </c>
      <c r="B198">
        <v>64</v>
      </c>
    </row>
    <row r="199" spans="1:2" x14ac:dyDescent="0.35">
      <c r="A199" t="s">
        <v>484</v>
      </c>
      <c r="B199">
        <v>647</v>
      </c>
    </row>
    <row r="200" spans="1:2" x14ac:dyDescent="0.35">
      <c r="A200" t="s">
        <v>485</v>
      </c>
      <c r="B200">
        <v>325</v>
      </c>
    </row>
    <row r="201" spans="1:2" x14ac:dyDescent="0.35">
      <c r="A201" t="s">
        <v>486</v>
      </c>
      <c r="B201">
        <v>342</v>
      </c>
    </row>
    <row r="202" spans="1:2" x14ac:dyDescent="0.35">
      <c r="A202" t="s">
        <v>487</v>
      </c>
      <c r="B202">
        <v>352</v>
      </c>
    </row>
    <row r="203" spans="1:2" x14ac:dyDescent="0.35">
      <c r="A203" t="s">
        <v>488</v>
      </c>
      <c r="B203">
        <v>1851</v>
      </c>
    </row>
    <row r="204" spans="1:2" x14ac:dyDescent="0.35">
      <c r="A204" t="s">
        <v>489</v>
      </c>
      <c r="B204">
        <v>36</v>
      </c>
    </row>
    <row r="205" spans="1:2" x14ac:dyDescent="0.35">
      <c r="A205" t="s">
        <v>490</v>
      </c>
      <c r="B205">
        <v>399</v>
      </c>
    </row>
    <row r="206" spans="1:2" x14ac:dyDescent="0.35">
      <c r="A206" t="s">
        <v>491</v>
      </c>
      <c r="B206">
        <v>533</v>
      </c>
    </row>
    <row r="207" spans="1:2" x14ac:dyDescent="0.35">
      <c r="A207" t="s">
        <v>492</v>
      </c>
      <c r="B207">
        <v>99</v>
      </c>
    </row>
    <row r="208" spans="1:2" x14ac:dyDescent="0.35">
      <c r="A208" t="s">
        <v>493</v>
      </c>
      <c r="B208">
        <v>170</v>
      </c>
    </row>
    <row r="209" spans="1:2" x14ac:dyDescent="0.35">
      <c r="A209" t="s">
        <v>494</v>
      </c>
      <c r="B209">
        <v>1570</v>
      </c>
    </row>
    <row r="210" spans="1:2" x14ac:dyDescent="0.35">
      <c r="A210" t="s">
        <v>495</v>
      </c>
      <c r="B210">
        <v>732</v>
      </c>
    </row>
    <row r="211" spans="1:2" x14ac:dyDescent="0.35">
      <c r="A211" t="s">
        <v>496</v>
      </c>
      <c r="B211">
        <v>423</v>
      </c>
    </row>
    <row r="212" spans="1:2" x14ac:dyDescent="0.35">
      <c r="A212" t="s">
        <v>497</v>
      </c>
      <c r="B212">
        <v>277</v>
      </c>
    </row>
    <row r="213" spans="1:2" x14ac:dyDescent="0.35">
      <c r="A213" t="s">
        <v>498</v>
      </c>
      <c r="B213">
        <v>494</v>
      </c>
    </row>
    <row r="214" spans="1:2" x14ac:dyDescent="0.35">
      <c r="A214" t="s">
        <v>213</v>
      </c>
      <c r="B214">
        <v>889</v>
      </c>
    </row>
    <row r="215" spans="1:2" x14ac:dyDescent="0.35">
      <c r="A215" t="s">
        <v>499</v>
      </c>
      <c r="B215">
        <v>750</v>
      </c>
    </row>
    <row r="216" spans="1:2" x14ac:dyDescent="0.35">
      <c r="A216" t="s">
        <v>500</v>
      </c>
      <c r="B216">
        <v>234</v>
      </c>
    </row>
    <row r="217" spans="1:2" x14ac:dyDescent="0.35">
      <c r="A217" t="s">
        <v>501</v>
      </c>
      <c r="B217">
        <v>5224</v>
      </c>
    </row>
    <row r="218" spans="1:2" x14ac:dyDescent="0.35">
      <c r="A218" t="s">
        <v>502</v>
      </c>
      <c r="B218">
        <v>629</v>
      </c>
    </row>
    <row r="219" spans="1:2" x14ac:dyDescent="0.35">
      <c r="A219" t="s">
        <v>503</v>
      </c>
      <c r="B219">
        <v>545</v>
      </c>
    </row>
    <row r="220" spans="1:2" x14ac:dyDescent="0.35">
      <c r="A220" t="s">
        <v>504</v>
      </c>
      <c r="B220">
        <v>1758</v>
      </c>
    </row>
    <row r="221" spans="1:2" x14ac:dyDescent="0.35">
      <c r="A221" t="s">
        <v>175</v>
      </c>
      <c r="B221">
        <v>124</v>
      </c>
    </row>
    <row r="222" spans="1:2" x14ac:dyDescent="0.35">
      <c r="A222" t="s">
        <v>505</v>
      </c>
      <c r="B222">
        <v>326</v>
      </c>
    </row>
    <row r="223" spans="1:2" x14ac:dyDescent="0.35">
      <c r="A223" t="s">
        <v>506</v>
      </c>
      <c r="B223">
        <v>1309</v>
      </c>
    </row>
    <row r="224" spans="1:2" x14ac:dyDescent="0.35">
      <c r="A224" t="s">
        <v>507</v>
      </c>
      <c r="B224">
        <v>512</v>
      </c>
    </row>
    <row r="225" spans="1:2" x14ac:dyDescent="0.35">
      <c r="A225" t="s">
        <v>146</v>
      </c>
      <c r="B225">
        <v>135</v>
      </c>
    </row>
    <row r="226" spans="1:2" x14ac:dyDescent="0.35">
      <c r="A226" t="s">
        <v>508</v>
      </c>
      <c r="B226">
        <v>1722</v>
      </c>
    </row>
    <row r="227" spans="1:2" x14ac:dyDescent="0.35">
      <c r="A227" t="s">
        <v>216</v>
      </c>
      <c r="B227">
        <v>2220</v>
      </c>
    </row>
    <row r="228" spans="1:2" x14ac:dyDescent="0.35">
      <c r="A228" t="s">
        <v>509</v>
      </c>
      <c r="B228">
        <v>94</v>
      </c>
    </row>
    <row r="229" spans="1:2" x14ac:dyDescent="0.35">
      <c r="A229" t="s">
        <v>510</v>
      </c>
      <c r="B229">
        <v>245</v>
      </c>
    </row>
    <row r="230" spans="1:2" x14ac:dyDescent="0.35">
      <c r="A230" t="s">
        <v>511</v>
      </c>
      <c r="B230">
        <v>632</v>
      </c>
    </row>
    <row r="231" spans="1:2" x14ac:dyDescent="0.35">
      <c r="A231" t="s">
        <v>512</v>
      </c>
      <c r="B231">
        <v>239</v>
      </c>
    </row>
    <row r="232" spans="1:2" x14ac:dyDescent="0.35">
      <c r="A232" t="s">
        <v>513</v>
      </c>
      <c r="B232">
        <v>841</v>
      </c>
    </row>
    <row r="233" spans="1:2" x14ac:dyDescent="0.35">
      <c r="A233" t="s">
        <v>514</v>
      </c>
      <c r="B233">
        <v>125</v>
      </c>
    </row>
    <row r="234" spans="1:2" x14ac:dyDescent="0.35">
      <c r="A234" t="s">
        <v>515</v>
      </c>
      <c r="B234">
        <v>254</v>
      </c>
    </row>
    <row r="235" spans="1:2" x14ac:dyDescent="0.35">
      <c r="A235" t="s">
        <v>516</v>
      </c>
      <c r="B235">
        <v>659</v>
      </c>
    </row>
    <row r="236" spans="1:2" x14ac:dyDescent="0.35">
      <c r="A236" t="s">
        <v>517</v>
      </c>
      <c r="B236">
        <v>1902</v>
      </c>
    </row>
    <row r="237" spans="1:2" x14ac:dyDescent="0.35">
      <c r="A237" t="s">
        <v>108</v>
      </c>
      <c r="B237">
        <v>506</v>
      </c>
    </row>
    <row r="238" spans="1:2" x14ac:dyDescent="0.35">
      <c r="A238" t="s">
        <v>518</v>
      </c>
      <c r="B238">
        <v>1075</v>
      </c>
    </row>
    <row r="239" spans="1:2" x14ac:dyDescent="0.35">
      <c r="A239" t="s">
        <v>519</v>
      </c>
      <c r="B239">
        <v>1094</v>
      </c>
    </row>
    <row r="240" spans="1:2" x14ac:dyDescent="0.35">
      <c r="A240" t="s">
        <v>520</v>
      </c>
      <c r="B240">
        <v>3691</v>
      </c>
    </row>
    <row r="241" spans="1:2" x14ac:dyDescent="0.35">
      <c r="A241" t="s">
        <v>521</v>
      </c>
      <c r="B241">
        <v>3275</v>
      </c>
    </row>
    <row r="242" spans="1:2" x14ac:dyDescent="0.35">
      <c r="A242" t="s">
        <v>522</v>
      </c>
      <c r="B242">
        <v>916</v>
      </c>
    </row>
    <row r="243" spans="1:2" x14ac:dyDescent="0.35">
      <c r="A243" t="s">
        <v>523</v>
      </c>
      <c r="B243">
        <v>100</v>
      </c>
    </row>
    <row r="244" spans="1:2" x14ac:dyDescent="0.35">
      <c r="A244" t="s">
        <v>210</v>
      </c>
      <c r="B244">
        <v>1626</v>
      </c>
    </row>
    <row r="245" spans="1:2" x14ac:dyDescent="0.35">
      <c r="A245" t="s">
        <v>524</v>
      </c>
      <c r="B245">
        <v>307</v>
      </c>
    </row>
    <row r="246" spans="1:2" x14ac:dyDescent="0.35">
      <c r="A246" t="s">
        <v>525</v>
      </c>
      <c r="B246">
        <v>167</v>
      </c>
    </row>
    <row r="247" spans="1:2" x14ac:dyDescent="0.35">
      <c r="A247" t="s">
        <v>526</v>
      </c>
      <c r="B247">
        <v>275</v>
      </c>
    </row>
    <row r="248" spans="1:2" x14ac:dyDescent="0.35">
      <c r="A248" t="s">
        <v>527</v>
      </c>
      <c r="B248">
        <v>1416</v>
      </c>
    </row>
    <row r="249" spans="1:2" x14ac:dyDescent="0.35">
      <c r="A249" t="s">
        <v>528</v>
      </c>
      <c r="B249">
        <v>559</v>
      </c>
    </row>
    <row r="250" spans="1:2" x14ac:dyDescent="0.35">
      <c r="A250" t="s">
        <v>529</v>
      </c>
      <c r="B250">
        <v>1097</v>
      </c>
    </row>
    <row r="251" spans="1:2" x14ac:dyDescent="0.35">
      <c r="A251" t="s">
        <v>530</v>
      </c>
      <c r="B251">
        <v>352</v>
      </c>
    </row>
    <row r="252" spans="1:2" x14ac:dyDescent="0.35">
      <c r="A252" t="s">
        <v>531</v>
      </c>
      <c r="B252">
        <v>458</v>
      </c>
    </row>
    <row r="253" spans="1:2" x14ac:dyDescent="0.35">
      <c r="A253" t="s">
        <v>532</v>
      </c>
      <c r="B253">
        <v>400</v>
      </c>
    </row>
    <row r="254" spans="1:2" x14ac:dyDescent="0.35">
      <c r="A254" t="s">
        <v>533</v>
      </c>
      <c r="B254">
        <v>403</v>
      </c>
    </row>
    <row r="255" spans="1:2" x14ac:dyDescent="0.35">
      <c r="A255" t="s">
        <v>253</v>
      </c>
      <c r="B255">
        <v>1621</v>
      </c>
    </row>
    <row r="256" spans="1:2" x14ac:dyDescent="0.35">
      <c r="A256" t="s">
        <v>534</v>
      </c>
      <c r="B256">
        <v>3794</v>
      </c>
    </row>
    <row r="257" spans="1:2" x14ac:dyDescent="0.35">
      <c r="A257" t="s">
        <v>535</v>
      </c>
      <c r="B257">
        <v>270</v>
      </c>
    </row>
    <row r="258" spans="1:2" x14ac:dyDescent="0.35">
      <c r="A258" t="s">
        <v>536</v>
      </c>
      <c r="B258">
        <v>447</v>
      </c>
    </row>
    <row r="259" spans="1:2" x14ac:dyDescent="0.35">
      <c r="A259" t="s">
        <v>537</v>
      </c>
      <c r="B259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"/>
  <sheetViews>
    <sheetView showGridLines="0" topLeftCell="A253" zoomScaleNormal="100" workbookViewId="0">
      <selection activeCell="I3" sqref="I3"/>
    </sheetView>
  </sheetViews>
  <sheetFormatPr defaultRowHeight="14.5" x14ac:dyDescent="0.35"/>
  <cols>
    <col min="1" max="1" width="5.1796875" style="4" customWidth="1"/>
    <col min="2" max="2" width="34.90625" style="6" bestFit="1" customWidth="1"/>
    <col min="3" max="3" width="15.6328125" style="4" customWidth="1"/>
    <col min="4" max="4" width="10.453125" style="4" hidden="1" customWidth="1"/>
    <col min="5" max="5" width="8.54296875" style="4" hidden="1" customWidth="1"/>
    <col min="6" max="6" width="8.81640625" style="4" hidden="1" customWidth="1"/>
    <col min="7" max="7" width="10" style="4" hidden="1" customWidth="1"/>
    <col min="8" max="8" width="11.1796875" style="4" customWidth="1"/>
    <col min="9" max="9" width="11.54296875" style="4" customWidth="1"/>
  </cols>
  <sheetData>
    <row r="1" spans="1:9" ht="20" x14ac:dyDescent="0.4">
      <c r="A1" s="19" t="s">
        <v>311</v>
      </c>
      <c r="B1" s="19"/>
      <c r="C1" s="19"/>
      <c r="D1" s="19"/>
      <c r="E1" s="19"/>
      <c r="F1" s="19"/>
      <c r="G1" s="19"/>
      <c r="H1" s="19"/>
      <c r="I1" s="19"/>
    </row>
    <row r="2" spans="1:9" ht="42" x14ac:dyDescent="0.35">
      <c r="A2" s="7" t="s">
        <v>0</v>
      </c>
      <c r="B2" s="7" t="s">
        <v>261</v>
      </c>
      <c r="C2" s="7" t="s">
        <v>262</v>
      </c>
      <c r="D2" s="7" t="s">
        <v>263</v>
      </c>
      <c r="E2" s="7" t="s">
        <v>264</v>
      </c>
      <c r="F2" s="7" t="s">
        <v>265</v>
      </c>
      <c r="G2" s="7" t="s">
        <v>266</v>
      </c>
      <c r="H2" s="7" t="s">
        <v>267</v>
      </c>
      <c r="I2" s="8" t="s">
        <v>310</v>
      </c>
    </row>
    <row r="3" spans="1:9" x14ac:dyDescent="0.35">
      <c r="A3" s="9">
        <v>1</v>
      </c>
      <c r="B3" s="10" t="s">
        <v>57</v>
      </c>
      <c r="C3" s="9">
        <v>4137</v>
      </c>
      <c r="D3" s="9">
        <v>691</v>
      </c>
      <c r="E3" s="9">
        <v>1008</v>
      </c>
      <c r="F3" s="9">
        <v>133</v>
      </c>
      <c r="G3" s="9">
        <v>0</v>
      </c>
      <c r="H3" s="9">
        <v>1956</v>
      </c>
      <c r="I3" s="11">
        <f>C3-H3</f>
        <v>2181</v>
      </c>
    </row>
    <row r="4" spans="1:9" x14ac:dyDescent="0.35">
      <c r="A4" s="9">
        <v>2</v>
      </c>
      <c r="B4" s="10" t="s">
        <v>237</v>
      </c>
      <c r="C4" s="9">
        <v>3691</v>
      </c>
      <c r="D4" s="9">
        <v>600</v>
      </c>
      <c r="E4" s="9">
        <v>916</v>
      </c>
      <c r="F4" s="9">
        <v>2</v>
      </c>
      <c r="G4" s="9">
        <v>0</v>
      </c>
      <c r="H4" s="9">
        <v>1518</v>
      </c>
      <c r="I4" s="11">
        <f>C4-H4</f>
        <v>2173</v>
      </c>
    </row>
    <row r="5" spans="1:9" x14ac:dyDescent="0.35">
      <c r="A5" s="9">
        <v>3</v>
      </c>
      <c r="B5" s="10" t="s">
        <v>114</v>
      </c>
      <c r="C5" s="9">
        <v>2417</v>
      </c>
      <c r="D5" s="9">
        <v>96</v>
      </c>
      <c r="E5" s="9">
        <v>497</v>
      </c>
      <c r="F5" s="9">
        <v>25</v>
      </c>
      <c r="G5" s="9">
        <v>1</v>
      </c>
      <c r="H5" s="9">
        <v>619</v>
      </c>
      <c r="I5" s="11">
        <f>C5-H5</f>
        <v>1798</v>
      </c>
    </row>
    <row r="6" spans="1:9" x14ac:dyDescent="0.35">
      <c r="A6" s="9">
        <v>4</v>
      </c>
      <c r="B6" s="10" t="s">
        <v>104</v>
      </c>
      <c r="C6" s="9">
        <v>2023</v>
      </c>
      <c r="D6" s="9">
        <v>48</v>
      </c>
      <c r="E6" s="9">
        <v>493</v>
      </c>
      <c r="F6" s="9">
        <v>4</v>
      </c>
      <c r="G6" s="9">
        <v>0</v>
      </c>
      <c r="H6" s="9">
        <v>600</v>
      </c>
      <c r="I6" s="11">
        <f>C6-H6</f>
        <v>1423</v>
      </c>
    </row>
    <row r="7" spans="1:9" x14ac:dyDescent="0.35">
      <c r="A7" s="9">
        <v>5</v>
      </c>
      <c r="B7" s="10" t="s">
        <v>268</v>
      </c>
      <c r="C7" s="9">
        <v>2081</v>
      </c>
      <c r="D7" s="9">
        <v>356</v>
      </c>
      <c r="E7" s="9">
        <v>532</v>
      </c>
      <c r="F7" s="9">
        <v>6</v>
      </c>
      <c r="G7" s="9">
        <v>0</v>
      </c>
      <c r="H7" s="9">
        <v>899</v>
      </c>
      <c r="I7" s="11">
        <f>C7-H7</f>
        <v>1182</v>
      </c>
    </row>
    <row r="8" spans="1:9" x14ac:dyDescent="0.35">
      <c r="A8" s="9">
        <v>6</v>
      </c>
      <c r="B8" s="10" t="s">
        <v>185</v>
      </c>
      <c r="C8" s="9">
        <v>1397</v>
      </c>
      <c r="D8" s="9">
        <v>66</v>
      </c>
      <c r="E8" s="9">
        <v>156</v>
      </c>
      <c r="F8" s="9">
        <v>0</v>
      </c>
      <c r="G8" s="9">
        <v>0</v>
      </c>
      <c r="H8" s="9">
        <v>228</v>
      </c>
      <c r="I8" s="11">
        <f>C8-H8</f>
        <v>1169</v>
      </c>
    </row>
    <row r="9" spans="1:9" x14ac:dyDescent="0.35">
      <c r="A9" s="9">
        <v>7</v>
      </c>
      <c r="B9" s="10" t="s">
        <v>238</v>
      </c>
      <c r="C9" s="9">
        <v>1416</v>
      </c>
      <c r="D9" s="9">
        <v>61</v>
      </c>
      <c r="E9" s="9">
        <v>210</v>
      </c>
      <c r="F9" s="9">
        <v>13</v>
      </c>
      <c r="G9" s="9">
        <v>0</v>
      </c>
      <c r="H9" s="9">
        <v>307</v>
      </c>
      <c r="I9" s="11">
        <f>C9-H9</f>
        <v>1109</v>
      </c>
    </row>
    <row r="10" spans="1:9" x14ac:dyDescent="0.35">
      <c r="A10" s="9">
        <v>8</v>
      </c>
      <c r="B10" s="10" t="s">
        <v>177</v>
      </c>
      <c r="C10" s="9">
        <v>1188</v>
      </c>
      <c r="D10" s="9">
        <v>2</v>
      </c>
      <c r="E10" s="9">
        <v>133</v>
      </c>
      <c r="F10" s="9">
        <v>10</v>
      </c>
      <c r="G10" s="9">
        <v>0</v>
      </c>
      <c r="H10" s="9">
        <v>146</v>
      </c>
      <c r="I10" s="11">
        <f>C10-H10</f>
        <v>1042</v>
      </c>
    </row>
    <row r="11" spans="1:9" x14ac:dyDescent="0.35">
      <c r="A11" s="9">
        <v>9</v>
      </c>
      <c r="B11" s="10" t="s">
        <v>106</v>
      </c>
      <c r="C11" s="9">
        <v>1254</v>
      </c>
      <c r="D11" s="9">
        <v>148</v>
      </c>
      <c r="E11" s="9">
        <v>76</v>
      </c>
      <c r="F11" s="9">
        <v>4</v>
      </c>
      <c r="G11" s="9">
        <v>0</v>
      </c>
      <c r="H11" s="9">
        <v>232</v>
      </c>
      <c r="I11" s="11">
        <f>C11-H11</f>
        <v>1022</v>
      </c>
    </row>
    <row r="12" spans="1:9" x14ac:dyDescent="0.35">
      <c r="A12" s="9">
        <v>10</v>
      </c>
      <c r="B12" s="10" t="s">
        <v>105</v>
      </c>
      <c r="C12" s="9">
        <v>1648</v>
      </c>
      <c r="D12" s="9">
        <v>340</v>
      </c>
      <c r="E12" s="9">
        <v>290</v>
      </c>
      <c r="F12" s="9">
        <v>0</v>
      </c>
      <c r="G12" s="9">
        <v>0</v>
      </c>
      <c r="H12" s="9">
        <v>652</v>
      </c>
      <c r="I12" s="11">
        <f>C12-H12</f>
        <v>996</v>
      </c>
    </row>
    <row r="13" spans="1:9" x14ac:dyDescent="0.35">
      <c r="A13" s="9">
        <v>11</v>
      </c>
      <c r="B13" s="10" t="s">
        <v>61</v>
      </c>
      <c r="C13" s="9">
        <v>1532</v>
      </c>
      <c r="D13" s="9">
        <v>59</v>
      </c>
      <c r="E13" s="9">
        <v>551</v>
      </c>
      <c r="F13" s="9">
        <v>2</v>
      </c>
      <c r="G13" s="9">
        <v>0</v>
      </c>
      <c r="H13" s="9">
        <v>616</v>
      </c>
      <c r="I13" s="11">
        <f>C13-H13</f>
        <v>916</v>
      </c>
    </row>
    <row r="14" spans="1:9" x14ac:dyDescent="0.35">
      <c r="A14" s="9">
        <v>12</v>
      </c>
      <c r="B14" s="10" t="s">
        <v>269</v>
      </c>
      <c r="C14" s="9">
        <v>1569</v>
      </c>
      <c r="D14" s="9">
        <v>41</v>
      </c>
      <c r="E14" s="9">
        <v>474</v>
      </c>
      <c r="F14" s="9">
        <v>138</v>
      </c>
      <c r="G14" s="9">
        <v>0</v>
      </c>
      <c r="H14" s="9">
        <v>655</v>
      </c>
      <c r="I14" s="11">
        <f>C14-H14</f>
        <v>914</v>
      </c>
    </row>
    <row r="15" spans="1:9" x14ac:dyDescent="0.35">
      <c r="A15" s="9">
        <v>13</v>
      </c>
      <c r="B15" s="10" t="s">
        <v>270</v>
      </c>
      <c r="C15" s="9">
        <v>1443</v>
      </c>
      <c r="D15" s="9">
        <v>330</v>
      </c>
      <c r="E15" s="9">
        <v>211</v>
      </c>
      <c r="F15" s="9">
        <v>0</v>
      </c>
      <c r="G15" s="9">
        <v>0</v>
      </c>
      <c r="H15" s="9">
        <v>565</v>
      </c>
      <c r="I15" s="11">
        <f>C15-H15</f>
        <v>878</v>
      </c>
    </row>
    <row r="16" spans="1:9" x14ac:dyDescent="0.35">
      <c r="A16" s="9">
        <v>14</v>
      </c>
      <c r="B16" s="10" t="s">
        <v>202</v>
      </c>
      <c r="C16" s="9">
        <v>2328</v>
      </c>
      <c r="D16" s="9">
        <v>778</v>
      </c>
      <c r="E16" s="9">
        <v>568</v>
      </c>
      <c r="F16" s="9">
        <v>10</v>
      </c>
      <c r="G16" s="9">
        <v>0</v>
      </c>
      <c r="H16" s="9">
        <v>1477</v>
      </c>
      <c r="I16" s="11">
        <f>C16-H16</f>
        <v>851</v>
      </c>
    </row>
    <row r="17" spans="1:9" x14ac:dyDescent="0.35">
      <c r="A17" s="9">
        <v>15</v>
      </c>
      <c r="B17" s="10" t="s">
        <v>234</v>
      </c>
      <c r="C17" s="9">
        <v>1449</v>
      </c>
      <c r="D17" s="9">
        <v>330</v>
      </c>
      <c r="E17" s="9">
        <v>274</v>
      </c>
      <c r="F17" s="9">
        <v>1</v>
      </c>
      <c r="G17" s="9">
        <v>1</v>
      </c>
      <c r="H17" s="9">
        <v>627</v>
      </c>
      <c r="I17" s="11">
        <f>C17-H17</f>
        <v>822</v>
      </c>
    </row>
    <row r="18" spans="1:9" x14ac:dyDescent="0.35">
      <c r="A18" s="9">
        <v>16</v>
      </c>
      <c r="B18" s="10" t="s">
        <v>20</v>
      </c>
      <c r="C18" s="9">
        <v>1845</v>
      </c>
      <c r="D18" s="9">
        <v>285</v>
      </c>
      <c r="E18" s="9">
        <v>678</v>
      </c>
      <c r="F18" s="9">
        <v>9</v>
      </c>
      <c r="G18" s="9">
        <v>0</v>
      </c>
      <c r="H18" s="9">
        <v>1054</v>
      </c>
      <c r="I18" s="11">
        <f>C18-H18</f>
        <v>791</v>
      </c>
    </row>
    <row r="19" spans="1:9" x14ac:dyDescent="0.35">
      <c r="A19" s="9">
        <v>17</v>
      </c>
      <c r="B19" s="10" t="s">
        <v>271</v>
      </c>
      <c r="C19" s="9">
        <v>889</v>
      </c>
      <c r="D19" s="9">
        <v>86</v>
      </c>
      <c r="E19" s="9">
        <v>109</v>
      </c>
      <c r="F19" s="9">
        <v>46</v>
      </c>
      <c r="G19" s="9">
        <v>1</v>
      </c>
      <c r="H19" s="9">
        <v>249</v>
      </c>
      <c r="I19" s="11">
        <f>C19-H19</f>
        <v>640</v>
      </c>
    </row>
    <row r="20" spans="1:9" x14ac:dyDescent="0.35">
      <c r="A20" s="9">
        <v>18</v>
      </c>
      <c r="B20" s="10" t="s">
        <v>74</v>
      </c>
      <c r="C20" s="9">
        <v>1441</v>
      </c>
      <c r="D20" s="9">
        <v>294</v>
      </c>
      <c r="E20" s="9">
        <v>507</v>
      </c>
      <c r="F20" s="9">
        <v>20</v>
      </c>
      <c r="G20" s="9">
        <v>0</v>
      </c>
      <c r="H20" s="9">
        <v>852</v>
      </c>
      <c r="I20" s="11">
        <f>C20-H20</f>
        <v>589</v>
      </c>
    </row>
    <row r="21" spans="1:9" x14ac:dyDescent="0.35">
      <c r="A21" s="9">
        <v>19</v>
      </c>
      <c r="B21" s="10" t="s">
        <v>211</v>
      </c>
      <c r="C21" s="9">
        <v>1376</v>
      </c>
      <c r="D21" s="9">
        <v>405</v>
      </c>
      <c r="E21" s="9">
        <v>323</v>
      </c>
      <c r="F21" s="9">
        <v>1</v>
      </c>
      <c r="G21" s="9">
        <v>0</v>
      </c>
      <c r="H21" s="9">
        <v>797</v>
      </c>
      <c r="I21" s="11">
        <f>C21-H21</f>
        <v>579</v>
      </c>
    </row>
    <row r="22" spans="1:9" x14ac:dyDescent="0.35">
      <c r="A22" s="9">
        <v>20</v>
      </c>
      <c r="B22" s="10" t="s">
        <v>235</v>
      </c>
      <c r="C22" s="9">
        <v>951</v>
      </c>
      <c r="D22" s="9">
        <v>131</v>
      </c>
      <c r="E22" s="9">
        <v>270</v>
      </c>
      <c r="F22" s="9">
        <v>6</v>
      </c>
      <c r="G22" s="9">
        <v>1</v>
      </c>
      <c r="H22" s="9">
        <v>411</v>
      </c>
      <c r="I22" s="11">
        <f>C22-H22</f>
        <v>540</v>
      </c>
    </row>
    <row r="23" spans="1:9" x14ac:dyDescent="0.35">
      <c r="A23" s="9">
        <v>21</v>
      </c>
      <c r="B23" s="10" t="s">
        <v>259</v>
      </c>
      <c r="C23" s="9">
        <v>929</v>
      </c>
      <c r="D23" s="9">
        <v>126</v>
      </c>
      <c r="E23" s="9">
        <v>274</v>
      </c>
      <c r="F23" s="9">
        <v>81</v>
      </c>
      <c r="G23" s="9">
        <v>0</v>
      </c>
      <c r="H23" s="9">
        <v>481</v>
      </c>
      <c r="I23" s="11">
        <f>C23-H23</f>
        <v>448</v>
      </c>
    </row>
    <row r="24" spans="1:9" x14ac:dyDescent="0.35">
      <c r="A24" s="9">
        <v>22</v>
      </c>
      <c r="B24" s="10" t="s">
        <v>63</v>
      </c>
      <c r="C24" s="9">
        <v>841</v>
      </c>
      <c r="D24" s="9">
        <v>190</v>
      </c>
      <c r="E24" s="9">
        <v>212</v>
      </c>
      <c r="F24" s="9">
        <v>18</v>
      </c>
      <c r="G24" s="9">
        <v>0</v>
      </c>
      <c r="H24" s="9">
        <v>424</v>
      </c>
      <c r="I24" s="11">
        <f>C24-H24</f>
        <v>417</v>
      </c>
    </row>
    <row r="25" spans="1:9" x14ac:dyDescent="0.35">
      <c r="A25" s="9">
        <v>23</v>
      </c>
      <c r="B25" s="10" t="s">
        <v>272</v>
      </c>
      <c r="C25" s="9">
        <v>1507</v>
      </c>
      <c r="D25" s="9">
        <v>403</v>
      </c>
      <c r="E25" s="9">
        <v>593</v>
      </c>
      <c r="F25" s="9">
        <v>67</v>
      </c>
      <c r="G25" s="9">
        <v>0</v>
      </c>
      <c r="H25" s="9">
        <v>1113</v>
      </c>
      <c r="I25" s="11">
        <f>C25-H25</f>
        <v>394</v>
      </c>
    </row>
    <row r="26" spans="1:9" x14ac:dyDescent="0.35">
      <c r="A26" s="9">
        <v>24</v>
      </c>
      <c r="B26" s="10" t="s">
        <v>256</v>
      </c>
      <c r="C26" s="9">
        <v>1092</v>
      </c>
      <c r="D26" s="9">
        <v>437</v>
      </c>
      <c r="E26" s="9">
        <v>171</v>
      </c>
      <c r="F26" s="9">
        <v>0</v>
      </c>
      <c r="G26" s="9">
        <v>0</v>
      </c>
      <c r="H26" s="9">
        <v>702</v>
      </c>
      <c r="I26" s="11">
        <f>C26-H26</f>
        <v>390</v>
      </c>
    </row>
    <row r="27" spans="1:9" x14ac:dyDescent="0.35">
      <c r="A27" s="9">
        <v>25</v>
      </c>
      <c r="B27" s="10" t="s">
        <v>36</v>
      </c>
      <c r="C27" s="9">
        <v>1186</v>
      </c>
      <c r="D27" s="9">
        <v>176</v>
      </c>
      <c r="E27" s="9">
        <v>549</v>
      </c>
      <c r="F27" s="9">
        <v>93</v>
      </c>
      <c r="G27" s="9">
        <v>0</v>
      </c>
      <c r="H27" s="9">
        <v>821</v>
      </c>
      <c r="I27" s="11">
        <f>C27-H27</f>
        <v>365</v>
      </c>
    </row>
    <row r="28" spans="1:9" x14ac:dyDescent="0.35">
      <c r="A28" s="9">
        <v>26</v>
      </c>
      <c r="B28" s="10" t="s">
        <v>192</v>
      </c>
      <c r="C28" s="9">
        <v>1851</v>
      </c>
      <c r="D28" s="9">
        <v>332</v>
      </c>
      <c r="E28" s="9">
        <v>1041</v>
      </c>
      <c r="F28" s="9">
        <v>50</v>
      </c>
      <c r="G28" s="9">
        <v>31</v>
      </c>
      <c r="H28" s="9">
        <v>1495</v>
      </c>
      <c r="I28" s="11">
        <f>C28-H28</f>
        <v>356</v>
      </c>
    </row>
    <row r="29" spans="1:9" x14ac:dyDescent="0.35">
      <c r="A29" s="9">
        <v>27</v>
      </c>
      <c r="B29" s="10" t="s">
        <v>220</v>
      </c>
      <c r="C29" s="9">
        <v>525</v>
      </c>
      <c r="D29" s="9">
        <v>128</v>
      </c>
      <c r="E29" s="9">
        <v>44</v>
      </c>
      <c r="F29" s="9">
        <v>8</v>
      </c>
      <c r="G29" s="9">
        <v>0</v>
      </c>
      <c r="H29" s="9">
        <v>199</v>
      </c>
      <c r="I29" s="11">
        <f>C29-H29</f>
        <v>326</v>
      </c>
    </row>
    <row r="30" spans="1:9" x14ac:dyDescent="0.35">
      <c r="A30" s="9">
        <v>28</v>
      </c>
      <c r="B30" s="10" t="s">
        <v>218</v>
      </c>
      <c r="C30" s="9">
        <v>1097</v>
      </c>
      <c r="D30" s="9">
        <v>135</v>
      </c>
      <c r="E30" s="9">
        <v>506</v>
      </c>
      <c r="F30" s="9">
        <v>44</v>
      </c>
      <c r="G30" s="9">
        <v>0</v>
      </c>
      <c r="H30" s="9">
        <v>781</v>
      </c>
      <c r="I30" s="11">
        <f>C30-H30</f>
        <v>316</v>
      </c>
    </row>
    <row r="31" spans="1:9" x14ac:dyDescent="0.35">
      <c r="A31" s="9">
        <v>29</v>
      </c>
      <c r="B31" s="10" t="s">
        <v>53</v>
      </c>
      <c r="C31" s="9">
        <v>2545</v>
      </c>
      <c r="D31" s="9">
        <v>213</v>
      </c>
      <c r="E31" s="9">
        <v>1840</v>
      </c>
      <c r="F31" s="9">
        <v>103</v>
      </c>
      <c r="G31" s="9">
        <v>13</v>
      </c>
      <c r="H31" s="9">
        <v>2230</v>
      </c>
      <c r="I31" s="11">
        <f>C31-H31</f>
        <v>315</v>
      </c>
    </row>
    <row r="32" spans="1:9" x14ac:dyDescent="0.35">
      <c r="A32" s="9">
        <v>30</v>
      </c>
      <c r="B32" s="10" t="s">
        <v>180</v>
      </c>
      <c r="C32" s="9">
        <v>1958</v>
      </c>
      <c r="D32" s="9">
        <v>970</v>
      </c>
      <c r="E32" s="9">
        <v>399</v>
      </c>
      <c r="F32" s="9">
        <v>18</v>
      </c>
      <c r="G32" s="9">
        <v>0</v>
      </c>
      <c r="H32" s="9">
        <v>1664</v>
      </c>
      <c r="I32" s="11">
        <f>C32-H32</f>
        <v>294</v>
      </c>
    </row>
    <row r="33" spans="1:9" x14ac:dyDescent="0.35">
      <c r="A33" s="9">
        <v>31</v>
      </c>
      <c r="B33" s="10" t="s">
        <v>37</v>
      </c>
      <c r="C33" s="9">
        <v>521</v>
      </c>
      <c r="D33" s="9">
        <v>35</v>
      </c>
      <c r="E33" s="9">
        <v>149</v>
      </c>
      <c r="F33" s="9">
        <v>19</v>
      </c>
      <c r="G33" s="9">
        <v>1</v>
      </c>
      <c r="H33" s="9">
        <v>233</v>
      </c>
      <c r="I33" s="11">
        <f>C33-H33</f>
        <v>288</v>
      </c>
    </row>
    <row r="34" spans="1:9" x14ac:dyDescent="0.35">
      <c r="A34" s="9">
        <v>32</v>
      </c>
      <c r="B34" s="10" t="s">
        <v>189</v>
      </c>
      <c r="C34" s="9">
        <v>1360</v>
      </c>
      <c r="D34" s="9">
        <v>654</v>
      </c>
      <c r="E34" s="9">
        <v>272</v>
      </c>
      <c r="F34" s="9">
        <v>0</v>
      </c>
      <c r="G34" s="9">
        <v>0</v>
      </c>
      <c r="H34" s="9">
        <v>1072</v>
      </c>
      <c r="I34" s="11">
        <f>C34-H34</f>
        <v>288</v>
      </c>
    </row>
    <row r="35" spans="1:9" x14ac:dyDescent="0.35">
      <c r="A35" s="9">
        <v>33</v>
      </c>
      <c r="B35" s="10" t="s">
        <v>273</v>
      </c>
      <c r="C35" s="9">
        <v>1621</v>
      </c>
      <c r="D35" s="9">
        <v>463</v>
      </c>
      <c r="E35" s="9">
        <v>798</v>
      </c>
      <c r="F35" s="9">
        <v>7</v>
      </c>
      <c r="G35" s="9">
        <v>0</v>
      </c>
      <c r="H35" s="9">
        <v>1335</v>
      </c>
      <c r="I35" s="11">
        <f>C35-H35</f>
        <v>286</v>
      </c>
    </row>
    <row r="36" spans="1:9" x14ac:dyDescent="0.35">
      <c r="A36" s="9">
        <v>34</v>
      </c>
      <c r="B36" s="10" t="s">
        <v>254</v>
      </c>
      <c r="C36" s="9">
        <v>812</v>
      </c>
      <c r="D36" s="9">
        <v>37</v>
      </c>
      <c r="E36" s="9">
        <v>473</v>
      </c>
      <c r="F36" s="9">
        <v>17</v>
      </c>
      <c r="G36" s="9">
        <v>1</v>
      </c>
      <c r="H36" s="9">
        <v>541</v>
      </c>
      <c r="I36" s="11">
        <f>C36-H36</f>
        <v>271</v>
      </c>
    </row>
    <row r="37" spans="1:9" x14ac:dyDescent="0.35">
      <c r="A37" s="9">
        <v>35</v>
      </c>
      <c r="B37" s="10" t="s">
        <v>48</v>
      </c>
      <c r="C37" s="9">
        <v>792</v>
      </c>
      <c r="D37" s="9">
        <v>68</v>
      </c>
      <c r="E37" s="9">
        <v>408</v>
      </c>
      <c r="F37" s="9">
        <v>47</v>
      </c>
      <c r="G37" s="9">
        <v>0</v>
      </c>
      <c r="H37" s="9">
        <v>535</v>
      </c>
      <c r="I37" s="11">
        <f>C37-H37</f>
        <v>257</v>
      </c>
    </row>
    <row r="38" spans="1:9" x14ac:dyDescent="0.35">
      <c r="A38" s="9">
        <v>36</v>
      </c>
      <c r="B38" s="10" t="s">
        <v>102</v>
      </c>
      <c r="C38" s="9">
        <v>916</v>
      </c>
      <c r="D38" s="9">
        <v>172</v>
      </c>
      <c r="E38" s="9">
        <v>438</v>
      </c>
      <c r="F38" s="9">
        <v>38</v>
      </c>
      <c r="G38" s="9">
        <v>0</v>
      </c>
      <c r="H38" s="9">
        <v>663</v>
      </c>
      <c r="I38" s="11">
        <f>C38-H38</f>
        <v>253</v>
      </c>
    </row>
    <row r="39" spans="1:9" x14ac:dyDescent="0.35">
      <c r="A39" s="9">
        <v>37</v>
      </c>
      <c r="B39" s="10" t="s">
        <v>11</v>
      </c>
      <c r="C39" s="9">
        <v>604</v>
      </c>
      <c r="D39" s="9">
        <v>119</v>
      </c>
      <c r="E39" s="9">
        <v>223</v>
      </c>
      <c r="F39" s="9">
        <v>14</v>
      </c>
      <c r="G39" s="9">
        <v>0</v>
      </c>
      <c r="H39" s="9">
        <v>356</v>
      </c>
      <c r="I39" s="11">
        <f>C39-H39</f>
        <v>248</v>
      </c>
    </row>
    <row r="40" spans="1:9" x14ac:dyDescent="0.35">
      <c r="A40" s="9">
        <v>38</v>
      </c>
      <c r="B40" s="10" t="s">
        <v>60</v>
      </c>
      <c r="C40" s="9">
        <v>1471</v>
      </c>
      <c r="D40" s="9">
        <v>68</v>
      </c>
      <c r="E40" s="9">
        <v>1129</v>
      </c>
      <c r="F40" s="9">
        <v>17</v>
      </c>
      <c r="G40" s="9">
        <v>11</v>
      </c>
      <c r="H40" s="9">
        <v>1227</v>
      </c>
      <c r="I40" s="11">
        <f>C40-H40</f>
        <v>244</v>
      </c>
    </row>
    <row r="41" spans="1:9" x14ac:dyDescent="0.35">
      <c r="A41" s="9">
        <v>39</v>
      </c>
      <c r="B41" s="10" t="s">
        <v>255</v>
      </c>
      <c r="C41" s="9">
        <v>1708</v>
      </c>
      <c r="D41" s="9">
        <v>583</v>
      </c>
      <c r="E41" s="9">
        <v>746</v>
      </c>
      <c r="F41" s="9">
        <v>12</v>
      </c>
      <c r="G41" s="9">
        <v>5</v>
      </c>
      <c r="H41" s="9">
        <v>1480</v>
      </c>
      <c r="I41" s="11">
        <f>C41-H41</f>
        <v>228</v>
      </c>
    </row>
    <row r="42" spans="1:9" x14ac:dyDescent="0.35">
      <c r="A42" s="9">
        <v>40</v>
      </c>
      <c r="B42" s="10" t="s">
        <v>98</v>
      </c>
      <c r="C42" s="9">
        <v>325</v>
      </c>
      <c r="D42" s="9">
        <v>41</v>
      </c>
      <c r="E42" s="9">
        <v>57</v>
      </c>
      <c r="F42" s="9">
        <v>4</v>
      </c>
      <c r="G42" s="9">
        <v>0</v>
      </c>
      <c r="H42" s="9">
        <v>102</v>
      </c>
      <c r="I42" s="11">
        <f>C42-H42</f>
        <v>223</v>
      </c>
    </row>
    <row r="43" spans="1:9" x14ac:dyDescent="0.35">
      <c r="A43" s="9">
        <v>41</v>
      </c>
      <c r="B43" s="10" t="s">
        <v>251</v>
      </c>
      <c r="C43" s="9">
        <v>659</v>
      </c>
      <c r="D43" s="9">
        <v>343</v>
      </c>
      <c r="E43" s="9">
        <v>62</v>
      </c>
      <c r="F43" s="9">
        <v>10</v>
      </c>
      <c r="G43" s="9">
        <v>0</v>
      </c>
      <c r="H43" s="9">
        <v>442</v>
      </c>
      <c r="I43" s="11">
        <f>C43-H43</f>
        <v>217</v>
      </c>
    </row>
    <row r="44" spans="1:9" x14ac:dyDescent="0.35">
      <c r="A44" s="9">
        <v>42</v>
      </c>
      <c r="B44" s="10" t="s">
        <v>157</v>
      </c>
      <c r="C44" s="9">
        <v>1570</v>
      </c>
      <c r="D44" s="9">
        <v>415</v>
      </c>
      <c r="E44" s="9">
        <v>735</v>
      </c>
      <c r="F44" s="9">
        <v>25</v>
      </c>
      <c r="G44" s="9">
        <v>0</v>
      </c>
      <c r="H44" s="9">
        <v>1354</v>
      </c>
      <c r="I44" s="11">
        <f>C44-H44</f>
        <v>216</v>
      </c>
    </row>
    <row r="45" spans="1:9" x14ac:dyDescent="0.35">
      <c r="A45" s="9">
        <v>43</v>
      </c>
      <c r="B45" s="10" t="s">
        <v>274</v>
      </c>
      <c r="C45" s="9">
        <v>316</v>
      </c>
      <c r="D45" s="9">
        <v>32</v>
      </c>
      <c r="E45" s="9">
        <v>59</v>
      </c>
      <c r="F45" s="9">
        <v>7</v>
      </c>
      <c r="G45" s="9">
        <v>0</v>
      </c>
      <c r="H45" s="9">
        <v>102</v>
      </c>
      <c r="I45" s="11">
        <f>C45-H45</f>
        <v>214</v>
      </c>
    </row>
    <row r="46" spans="1:9" x14ac:dyDescent="0.35">
      <c r="A46" s="9">
        <v>44</v>
      </c>
      <c r="B46" s="10" t="s">
        <v>58</v>
      </c>
      <c r="C46" s="9">
        <v>649</v>
      </c>
      <c r="D46" s="9">
        <v>396</v>
      </c>
      <c r="E46" s="9">
        <v>36</v>
      </c>
      <c r="F46" s="9">
        <v>0</v>
      </c>
      <c r="G46" s="9">
        <v>0</v>
      </c>
      <c r="H46" s="9">
        <v>436</v>
      </c>
      <c r="I46" s="11">
        <f>C46-H46</f>
        <v>213</v>
      </c>
    </row>
    <row r="47" spans="1:9" x14ac:dyDescent="0.35">
      <c r="A47" s="9">
        <v>45</v>
      </c>
      <c r="B47" s="10" t="s">
        <v>167</v>
      </c>
      <c r="C47" s="9">
        <v>445</v>
      </c>
      <c r="D47" s="9">
        <v>104</v>
      </c>
      <c r="E47" s="9">
        <v>111</v>
      </c>
      <c r="F47" s="9">
        <v>15</v>
      </c>
      <c r="G47" s="9">
        <v>0</v>
      </c>
      <c r="H47" s="9">
        <v>233</v>
      </c>
      <c r="I47" s="11">
        <f>C47-H47</f>
        <v>212</v>
      </c>
    </row>
    <row r="48" spans="1:9" x14ac:dyDescent="0.35">
      <c r="A48" s="9">
        <v>46</v>
      </c>
      <c r="B48" s="10" t="s">
        <v>99</v>
      </c>
      <c r="C48" s="9">
        <v>1345</v>
      </c>
      <c r="D48" s="9">
        <v>843</v>
      </c>
      <c r="E48" s="9">
        <v>267</v>
      </c>
      <c r="F48" s="9">
        <v>15</v>
      </c>
      <c r="G48" s="9">
        <v>0</v>
      </c>
      <c r="H48" s="9">
        <v>1142</v>
      </c>
      <c r="I48" s="11">
        <f>C48-H48</f>
        <v>203</v>
      </c>
    </row>
    <row r="49" spans="1:9" x14ac:dyDescent="0.35">
      <c r="A49" s="9">
        <v>47</v>
      </c>
      <c r="B49" s="10" t="s">
        <v>275</v>
      </c>
      <c r="C49" s="9">
        <v>621</v>
      </c>
      <c r="D49" s="9">
        <v>214</v>
      </c>
      <c r="E49" s="9">
        <v>93</v>
      </c>
      <c r="F49" s="9">
        <v>62</v>
      </c>
      <c r="G49" s="9">
        <v>0</v>
      </c>
      <c r="H49" s="9">
        <v>420</v>
      </c>
      <c r="I49" s="11">
        <f>C49-H49</f>
        <v>201</v>
      </c>
    </row>
    <row r="50" spans="1:9" x14ac:dyDescent="0.35">
      <c r="A50" s="9">
        <v>48</v>
      </c>
      <c r="B50" s="10" t="s">
        <v>24</v>
      </c>
      <c r="C50" s="9">
        <v>1933</v>
      </c>
      <c r="D50" s="9">
        <v>335</v>
      </c>
      <c r="E50" s="9">
        <v>851</v>
      </c>
      <c r="F50" s="9">
        <v>124</v>
      </c>
      <c r="G50" s="9">
        <v>2</v>
      </c>
      <c r="H50" s="9">
        <v>1733</v>
      </c>
      <c r="I50" s="11">
        <f>C50-H50</f>
        <v>200</v>
      </c>
    </row>
    <row r="51" spans="1:9" x14ac:dyDescent="0.35">
      <c r="A51" s="9">
        <v>49</v>
      </c>
      <c r="B51" s="10" t="s">
        <v>206</v>
      </c>
      <c r="C51" s="9">
        <v>1401</v>
      </c>
      <c r="D51" s="9">
        <v>663</v>
      </c>
      <c r="E51" s="9">
        <v>478</v>
      </c>
      <c r="F51" s="9">
        <v>0</v>
      </c>
      <c r="G51" s="9">
        <v>0</v>
      </c>
      <c r="H51" s="9">
        <v>1203</v>
      </c>
      <c r="I51" s="11">
        <f>C51-H51</f>
        <v>198</v>
      </c>
    </row>
    <row r="52" spans="1:9" x14ac:dyDescent="0.35">
      <c r="A52" s="9">
        <v>50</v>
      </c>
      <c r="B52" s="10" t="s">
        <v>21</v>
      </c>
      <c r="C52" s="9">
        <v>268</v>
      </c>
      <c r="D52" s="9">
        <v>27</v>
      </c>
      <c r="E52" s="9">
        <v>48</v>
      </c>
      <c r="F52" s="9">
        <v>0</v>
      </c>
      <c r="G52" s="9">
        <v>0</v>
      </c>
      <c r="H52" s="9">
        <v>75</v>
      </c>
      <c r="I52" s="11">
        <f>C52-H52</f>
        <v>193</v>
      </c>
    </row>
    <row r="53" spans="1:9" x14ac:dyDescent="0.35">
      <c r="A53" s="9">
        <v>51</v>
      </c>
      <c r="B53" s="10" t="s">
        <v>215</v>
      </c>
      <c r="C53" s="9">
        <v>1309</v>
      </c>
      <c r="D53" s="9">
        <v>274</v>
      </c>
      <c r="E53" s="9">
        <v>598</v>
      </c>
      <c r="F53" s="9">
        <v>192</v>
      </c>
      <c r="G53" s="9">
        <v>1</v>
      </c>
      <c r="H53" s="9">
        <v>1117</v>
      </c>
      <c r="I53" s="11">
        <f>C53-H53</f>
        <v>192</v>
      </c>
    </row>
    <row r="54" spans="1:9" x14ac:dyDescent="0.35">
      <c r="A54" s="9">
        <v>52</v>
      </c>
      <c r="B54" s="10" t="s">
        <v>188</v>
      </c>
      <c r="C54" s="9">
        <v>664</v>
      </c>
      <c r="D54" s="9">
        <v>112</v>
      </c>
      <c r="E54" s="9">
        <v>345</v>
      </c>
      <c r="F54" s="9">
        <v>4</v>
      </c>
      <c r="G54" s="9">
        <v>0</v>
      </c>
      <c r="H54" s="9">
        <v>473</v>
      </c>
      <c r="I54" s="11">
        <f>C54-H54</f>
        <v>191</v>
      </c>
    </row>
    <row r="55" spans="1:9" x14ac:dyDescent="0.35">
      <c r="A55" s="9">
        <v>53</v>
      </c>
      <c r="B55" s="10" t="s">
        <v>130</v>
      </c>
      <c r="C55" s="9">
        <v>629</v>
      </c>
      <c r="D55" s="9">
        <v>155</v>
      </c>
      <c r="E55" s="9">
        <v>262</v>
      </c>
      <c r="F55" s="9">
        <v>14</v>
      </c>
      <c r="G55" s="9">
        <v>0</v>
      </c>
      <c r="H55" s="9">
        <v>440</v>
      </c>
      <c r="I55" s="11">
        <f>C55-H55</f>
        <v>189</v>
      </c>
    </row>
    <row r="56" spans="1:9" x14ac:dyDescent="0.35">
      <c r="A56" s="9">
        <v>54</v>
      </c>
      <c r="B56" s="10" t="s">
        <v>30</v>
      </c>
      <c r="C56" s="9">
        <v>386</v>
      </c>
      <c r="D56" s="9">
        <v>41</v>
      </c>
      <c r="E56" s="9">
        <v>111</v>
      </c>
      <c r="F56" s="9">
        <v>22</v>
      </c>
      <c r="G56" s="9">
        <v>2</v>
      </c>
      <c r="H56" s="9">
        <v>199</v>
      </c>
      <c r="I56" s="11">
        <f>C56-H56</f>
        <v>187</v>
      </c>
    </row>
    <row r="57" spans="1:9" x14ac:dyDescent="0.35">
      <c r="A57" s="9">
        <v>55</v>
      </c>
      <c r="B57" s="10" t="s">
        <v>153</v>
      </c>
      <c r="C57" s="9">
        <v>508</v>
      </c>
      <c r="D57" s="9">
        <v>147</v>
      </c>
      <c r="E57" s="9">
        <v>151</v>
      </c>
      <c r="F57" s="9">
        <v>21</v>
      </c>
      <c r="G57" s="9">
        <v>0</v>
      </c>
      <c r="H57" s="9">
        <v>321</v>
      </c>
      <c r="I57" s="11">
        <f>C57-H57</f>
        <v>187</v>
      </c>
    </row>
    <row r="58" spans="1:9" x14ac:dyDescent="0.35">
      <c r="A58" s="9">
        <v>56</v>
      </c>
      <c r="B58" s="10" t="s">
        <v>277</v>
      </c>
      <c r="C58" s="9">
        <v>2220</v>
      </c>
      <c r="D58" s="9">
        <v>534</v>
      </c>
      <c r="E58" s="9">
        <v>1298</v>
      </c>
      <c r="F58" s="9">
        <v>5</v>
      </c>
      <c r="G58" s="9">
        <v>0</v>
      </c>
      <c r="H58" s="9">
        <v>2033</v>
      </c>
      <c r="I58" s="11">
        <f>C58-H58</f>
        <v>187</v>
      </c>
    </row>
    <row r="59" spans="1:9" x14ac:dyDescent="0.35">
      <c r="A59" s="9">
        <v>57</v>
      </c>
      <c r="B59" s="10" t="s">
        <v>276</v>
      </c>
      <c r="C59" s="9">
        <v>1094</v>
      </c>
      <c r="D59" s="9">
        <v>222</v>
      </c>
      <c r="E59" s="9">
        <v>678</v>
      </c>
      <c r="F59" s="9">
        <v>12</v>
      </c>
      <c r="G59" s="9">
        <v>0</v>
      </c>
      <c r="H59" s="9">
        <v>913</v>
      </c>
      <c r="I59" s="11">
        <f>C59-H59</f>
        <v>181</v>
      </c>
    </row>
    <row r="60" spans="1:9" x14ac:dyDescent="0.35">
      <c r="A60" s="9">
        <v>58</v>
      </c>
      <c r="B60" s="10" t="s">
        <v>278</v>
      </c>
      <c r="C60" s="9">
        <v>1309</v>
      </c>
      <c r="D60" s="9">
        <v>47</v>
      </c>
      <c r="E60" s="9">
        <v>1076</v>
      </c>
      <c r="F60" s="9">
        <v>6</v>
      </c>
      <c r="G60" s="9">
        <v>0</v>
      </c>
      <c r="H60" s="9">
        <v>1132</v>
      </c>
      <c r="I60" s="11">
        <f>C60-H60</f>
        <v>177</v>
      </c>
    </row>
    <row r="61" spans="1:9" x14ac:dyDescent="0.35">
      <c r="A61" s="9">
        <v>59</v>
      </c>
      <c r="B61" s="10" t="s">
        <v>16</v>
      </c>
      <c r="C61" s="9">
        <v>468</v>
      </c>
      <c r="D61" s="9">
        <v>174</v>
      </c>
      <c r="E61" s="9">
        <v>100</v>
      </c>
      <c r="F61" s="9">
        <v>12</v>
      </c>
      <c r="G61" s="9">
        <v>0</v>
      </c>
      <c r="H61" s="9">
        <v>291</v>
      </c>
      <c r="I61" s="11">
        <f>C61-H61</f>
        <v>177</v>
      </c>
    </row>
    <row r="62" spans="1:9" x14ac:dyDescent="0.35">
      <c r="A62" s="9">
        <v>60</v>
      </c>
      <c r="B62" s="10" t="s">
        <v>49</v>
      </c>
      <c r="C62" s="9">
        <v>838</v>
      </c>
      <c r="D62" s="9">
        <v>528</v>
      </c>
      <c r="E62" s="9">
        <v>17</v>
      </c>
      <c r="F62" s="9">
        <v>8</v>
      </c>
      <c r="G62" s="9">
        <v>0</v>
      </c>
      <c r="H62" s="9">
        <v>662</v>
      </c>
      <c r="I62" s="11">
        <f>C62-H62</f>
        <v>176</v>
      </c>
    </row>
    <row r="63" spans="1:9" x14ac:dyDescent="0.35">
      <c r="A63" s="9">
        <v>61</v>
      </c>
      <c r="B63" s="10" t="s">
        <v>143</v>
      </c>
      <c r="C63" s="9">
        <v>648</v>
      </c>
      <c r="D63" s="9">
        <v>80</v>
      </c>
      <c r="E63" s="9">
        <v>321</v>
      </c>
      <c r="F63" s="9">
        <v>63</v>
      </c>
      <c r="G63" s="9">
        <v>0</v>
      </c>
      <c r="H63" s="9">
        <v>472</v>
      </c>
      <c r="I63" s="11">
        <f>C63-H63</f>
        <v>176</v>
      </c>
    </row>
    <row r="64" spans="1:9" x14ac:dyDescent="0.35">
      <c r="A64" s="9">
        <v>62</v>
      </c>
      <c r="B64" s="10" t="s">
        <v>77</v>
      </c>
      <c r="C64" s="9">
        <v>938</v>
      </c>
      <c r="D64" s="9">
        <v>360</v>
      </c>
      <c r="E64" s="9">
        <v>364</v>
      </c>
      <c r="F64" s="9">
        <v>33</v>
      </c>
      <c r="G64" s="9">
        <v>4</v>
      </c>
      <c r="H64" s="9">
        <v>763</v>
      </c>
      <c r="I64" s="11">
        <f>C64-H64</f>
        <v>175</v>
      </c>
    </row>
    <row r="65" spans="1:9" x14ac:dyDescent="0.35">
      <c r="A65" s="9">
        <v>63</v>
      </c>
      <c r="B65" s="10" t="s">
        <v>217</v>
      </c>
      <c r="C65" s="9">
        <v>1075</v>
      </c>
      <c r="D65" s="9">
        <v>63</v>
      </c>
      <c r="E65" s="9">
        <v>822</v>
      </c>
      <c r="F65" s="9">
        <v>11</v>
      </c>
      <c r="G65" s="9">
        <v>0</v>
      </c>
      <c r="H65" s="9">
        <v>901</v>
      </c>
      <c r="I65" s="11">
        <f>C65-H65</f>
        <v>174</v>
      </c>
    </row>
    <row r="66" spans="1:9" x14ac:dyDescent="0.35">
      <c r="A66" s="9">
        <v>64</v>
      </c>
      <c r="B66" s="10" t="s">
        <v>115</v>
      </c>
      <c r="C66" s="9">
        <v>1145</v>
      </c>
      <c r="D66" s="9">
        <v>170</v>
      </c>
      <c r="E66" s="9">
        <v>717</v>
      </c>
      <c r="F66" s="9">
        <v>26</v>
      </c>
      <c r="G66" s="9">
        <v>0</v>
      </c>
      <c r="H66" s="9">
        <v>975</v>
      </c>
      <c r="I66" s="11">
        <f>C66-H66</f>
        <v>170</v>
      </c>
    </row>
    <row r="67" spans="1:9" x14ac:dyDescent="0.35">
      <c r="A67" s="9">
        <v>65</v>
      </c>
      <c r="B67" s="10" t="s">
        <v>193</v>
      </c>
      <c r="C67" s="9">
        <v>750</v>
      </c>
      <c r="D67" s="9">
        <v>244</v>
      </c>
      <c r="E67" s="9">
        <v>321</v>
      </c>
      <c r="F67" s="9">
        <v>2</v>
      </c>
      <c r="G67" s="9">
        <v>0</v>
      </c>
      <c r="H67" s="9">
        <v>581</v>
      </c>
      <c r="I67" s="11">
        <f>C67-H67</f>
        <v>169</v>
      </c>
    </row>
    <row r="68" spans="1:9" x14ac:dyDescent="0.35">
      <c r="A68" s="9">
        <v>66</v>
      </c>
      <c r="B68" s="10" t="s">
        <v>208</v>
      </c>
      <c r="C68" s="9">
        <v>1902</v>
      </c>
      <c r="D68" s="9">
        <v>722</v>
      </c>
      <c r="E68" s="9">
        <v>962</v>
      </c>
      <c r="F68" s="9">
        <v>41</v>
      </c>
      <c r="G68" s="9">
        <v>0</v>
      </c>
      <c r="H68" s="9">
        <v>1735</v>
      </c>
      <c r="I68" s="11">
        <f>C68-H68</f>
        <v>167</v>
      </c>
    </row>
    <row r="69" spans="1:9" x14ac:dyDescent="0.35">
      <c r="A69" s="9">
        <v>67</v>
      </c>
      <c r="B69" s="10" t="s">
        <v>196</v>
      </c>
      <c r="C69" s="9">
        <v>619</v>
      </c>
      <c r="D69" s="9">
        <v>119</v>
      </c>
      <c r="E69" s="9">
        <v>314</v>
      </c>
      <c r="F69" s="9">
        <v>23</v>
      </c>
      <c r="G69" s="9">
        <v>0</v>
      </c>
      <c r="H69" s="9">
        <v>458</v>
      </c>
      <c r="I69" s="11">
        <f>C69-H69</f>
        <v>161</v>
      </c>
    </row>
    <row r="70" spans="1:9" x14ac:dyDescent="0.35">
      <c r="A70" s="9">
        <v>68</v>
      </c>
      <c r="B70" s="10" t="s">
        <v>279</v>
      </c>
      <c r="C70" s="9">
        <v>494</v>
      </c>
      <c r="D70" s="9">
        <v>146</v>
      </c>
      <c r="E70" s="9">
        <v>176</v>
      </c>
      <c r="F70" s="9">
        <v>11</v>
      </c>
      <c r="G70" s="9">
        <v>0</v>
      </c>
      <c r="H70" s="9">
        <v>333</v>
      </c>
      <c r="I70" s="11">
        <f>C70-H70</f>
        <v>161</v>
      </c>
    </row>
    <row r="71" spans="1:9" x14ac:dyDescent="0.35">
      <c r="A71" s="9">
        <v>69</v>
      </c>
      <c r="B71" s="10" t="s">
        <v>250</v>
      </c>
      <c r="C71" s="9">
        <v>647</v>
      </c>
      <c r="D71" s="9">
        <v>187</v>
      </c>
      <c r="E71" s="9">
        <v>268</v>
      </c>
      <c r="F71" s="9">
        <v>0</v>
      </c>
      <c r="G71" s="9">
        <v>0</v>
      </c>
      <c r="H71" s="9">
        <v>487</v>
      </c>
      <c r="I71" s="11">
        <f>C71-H71</f>
        <v>160</v>
      </c>
    </row>
    <row r="72" spans="1:9" x14ac:dyDescent="0.35">
      <c r="A72" s="9">
        <v>70</v>
      </c>
      <c r="B72" s="10" t="s">
        <v>72</v>
      </c>
      <c r="C72" s="9">
        <v>876</v>
      </c>
      <c r="D72" s="9">
        <v>41</v>
      </c>
      <c r="E72" s="9">
        <v>649</v>
      </c>
      <c r="F72" s="9">
        <v>30</v>
      </c>
      <c r="G72" s="9">
        <v>2</v>
      </c>
      <c r="H72" s="9">
        <v>723</v>
      </c>
      <c r="I72" s="11">
        <f>C72-H72</f>
        <v>153</v>
      </c>
    </row>
    <row r="73" spans="1:9" x14ac:dyDescent="0.35">
      <c r="A73" s="9">
        <v>71</v>
      </c>
      <c r="B73" s="10" t="s">
        <v>124</v>
      </c>
      <c r="C73" s="9">
        <v>431</v>
      </c>
      <c r="D73" s="9">
        <v>100</v>
      </c>
      <c r="E73" s="9">
        <v>156</v>
      </c>
      <c r="F73" s="9">
        <v>0</v>
      </c>
      <c r="G73" s="9">
        <v>0</v>
      </c>
      <c r="H73" s="9">
        <v>278</v>
      </c>
      <c r="I73" s="11">
        <f>C73-H73</f>
        <v>153</v>
      </c>
    </row>
    <row r="74" spans="1:9" x14ac:dyDescent="0.35">
      <c r="A74" s="9">
        <v>72</v>
      </c>
      <c r="B74" s="10" t="s">
        <v>223</v>
      </c>
      <c r="C74" s="9">
        <v>671</v>
      </c>
      <c r="D74" s="9">
        <v>365</v>
      </c>
      <c r="E74" s="9">
        <v>48</v>
      </c>
      <c r="F74" s="9">
        <v>1</v>
      </c>
      <c r="G74" s="9">
        <v>2</v>
      </c>
      <c r="H74" s="9">
        <v>519</v>
      </c>
      <c r="I74" s="11">
        <f>C74-H74</f>
        <v>152</v>
      </c>
    </row>
    <row r="75" spans="1:9" x14ac:dyDescent="0.35">
      <c r="A75" s="9">
        <v>73</v>
      </c>
      <c r="B75" s="10" t="s">
        <v>47</v>
      </c>
      <c r="C75" s="9">
        <v>802</v>
      </c>
      <c r="D75" s="9">
        <v>292</v>
      </c>
      <c r="E75" s="9">
        <v>225</v>
      </c>
      <c r="F75" s="9">
        <v>5</v>
      </c>
      <c r="G75" s="9">
        <v>0</v>
      </c>
      <c r="H75" s="9">
        <v>651</v>
      </c>
      <c r="I75" s="11">
        <f>C75-H75</f>
        <v>151</v>
      </c>
    </row>
    <row r="76" spans="1:9" x14ac:dyDescent="0.35">
      <c r="A76" s="9">
        <v>74</v>
      </c>
      <c r="B76" s="10" t="s">
        <v>59</v>
      </c>
      <c r="C76" s="9">
        <v>650</v>
      </c>
      <c r="D76" s="9">
        <v>52</v>
      </c>
      <c r="E76" s="9">
        <v>330</v>
      </c>
      <c r="F76" s="9">
        <v>53</v>
      </c>
      <c r="G76" s="9">
        <v>0</v>
      </c>
      <c r="H76" s="9">
        <v>501</v>
      </c>
      <c r="I76" s="11">
        <f>C76-H76</f>
        <v>149</v>
      </c>
    </row>
    <row r="77" spans="1:9" x14ac:dyDescent="0.35">
      <c r="A77" s="9">
        <v>75</v>
      </c>
      <c r="B77" s="10" t="s">
        <v>14</v>
      </c>
      <c r="C77" s="9">
        <v>283</v>
      </c>
      <c r="D77" s="9">
        <v>74</v>
      </c>
      <c r="E77" s="9">
        <v>63</v>
      </c>
      <c r="F77" s="9">
        <v>2</v>
      </c>
      <c r="G77" s="9">
        <v>0</v>
      </c>
      <c r="H77" s="9">
        <v>139</v>
      </c>
      <c r="I77" s="11">
        <f>C77-H77</f>
        <v>144</v>
      </c>
    </row>
    <row r="78" spans="1:9" x14ac:dyDescent="0.35">
      <c r="A78" s="9">
        <v>76</v>
      </c>
      <c r="B78" s="10" t="s">
        <v>50</v>
      </c>
      <c r="C78" s="9">
        <v>950</v>
      </c>
      <c r="D78" s="9">
        <v>343</v>
      </c>
      <c r="E78" s="9">
        <v>387</v>
      </c>
      <c r="F78" s="9">
        <v>69</v>
      </c>
      <c r="G78" s="9">
        <v>6</v>
      </c>
      <c r="H78" s="9">
        <v>806</v>
      </c>
      <c r="I78" s="11">
        <f>C78-H78</f>
        <v>144</v>
      </c>
    </row>
    <row r="79" spans="1:9" x14ac:dyDescent="0.35">
      <c r="A79" s="9">
        <v>77</v>
      </c>
      <c r="B79" s="10" t="s">
        <v>28</v>
      </c>
      <c r="C79" s="9">
        <v>745</v>
      </c>
      <c r="D79" s="9">
        <v>89</v>
      </c>
      <c r="E79" s="9">
        <v>371</v>
      </c>
      <c r="F79" s="9">
        <v>139</v>
      </c>
      <c r="G79" s="9">
        <v>0</v>
      </c>
      <c r="H79" s="9">
        <v>602</v>
      </c>
      <c r="I79" s="11">
        <f>C79-H79</f>
        <v>143</v>
      </c>
    </row>
    <row r="80" spans="1:9" x14ac:dyDescent="0.35">
      <c r="A80" s="9">
        <v>78</v>
      </c>
      <c r="B80" s="10" t="s">
        <v>219</v>
      </c>
      <c r="C80" s="9">
        <v>807</v>
      </c>
      <c r="D80" s="9">
        <v>195</v>
      </c>
      <c r="E80" s="9">
        <v>404</v>
      </c>
      <c r="F80" s="9">
        <v>7</v>
      </c>
      <c r="G80" s="9">
        <v>0</v>
      </c>
      <c r="H80" s="9">
        <v>667</v>
      </c>
      <c r="I80" s="11">
        <f>C80-H80</f>
        <v>140</v>
      </c>
    </row>
    <row r="81" spans="1:9" x14ac:dyDescent="0.35">
      <c r="A81" s="9">
        <v>79</v>
      </c>
      <c r="B81" s="10" t="s">
        <v>221</v>
      </c>
      <c r="C81" s="9">
        <v>561</v>
      </c>
      <c r="D81" s="9">
        <v>155</v>
      </c>
      <c r="E81" s="9">
        <v>221</v>
      </c>
      <c r="F81" s="9">
        <v>37</v>
      </c>
      <c r="G81" s="9">
        <v>0</v>
      </c>
      <c r="H81" s="9">
        <v>421</v>
      </c>
      <c r="I81" s="11">
        <f>C81-H81</f>
        <v>140</v>
      </c>
    </row>
    <row r="82" spans="1:9" x14ac:dyDescent="0.35">
      <c r="A82" s="9">
        <v>80</v>
      </c>
      <c r="B82" s="10" t="s">
        <v>7</v>
      </c>
      <c r="C82" s="9">
        <v>732</v>
      </c>
      <c r="D82" s="9">
        <v>359</v>
      </c>
      <c r="E82" s="9">
        <v>114</v>
      </c>
      <c r="F82" s="9">
        <v>0</v>
      </c>
      <c r="G82" s="9">
        <v>0</v>
      </c>
      <c r="H82" s="9">
        <v>593</v>
      </c>
      <c r="I82" s="11">
        <f>C82-H82</f>
        <v>139</v>
      </c>
    </row>
    <row r="83" spans="1:9" x14ac:dyDescent="0.35">
      <c r="A83" s="9">
        <v>81</v>
      </c>
      <c r="B83" s="10" t="s">
        <v>39</v>
      </c>
      <c r="C83" s="9">
        <v>325</v>
      </c>
      <c r="D83" s="9">
        <v>63</v>
      </c>
      <c r="E83" s="9">
        <v>94</v>
      </c>
      <c r="F83" s="9">
        <v>28</v>
      </c>
      <c r="G83" s="9">
        <v>0</v>
      </c>
      <c r="H83" s="9">
        <v>187</v>
      </c>
      <c r="I83" s="11">
        <f>C83-H83</f>
        <v>138</v>
      </c>
    </row>
    <row r="84" spans="1:9" x14ac:dyDescent="0.35">
      <c r="A84" s="9">
        <v>82</v>
      </c>
      <c r="B84" s="10" t="s">
        <v>152</v>
      </c>
      <c r="C84" s="9">
        <v>815</v>
      </c>
      <c r="D84" s="9">
        <v>69</v>
      </c>
      <c r="E84" s="9">
        <v>516</v>
      </c>
      <c r="F84" s="9">
        <v>10</v>
      </c>
      <c r="G84" s="9">
        <v>80</v>
      </c>
      <c r="H84" s="9">
        <v>677</v>
      </c>
      <c r="I84" s="11">
        <f>C84-H84</f>
        <v>138</v>
      </c>
    </row>
    <row r="85" spans="1:9" x14ac:dyDescent="0.35">
      <c r="A85" s="9">
        <v>83</v>
      </c>
      <c r="B85" s="10" t="s">
        <v>109</v>
      </c>
      <c r="C85" s="9">
        <v>3794</v>
      </c>
      <c r="D85" s="9">
        <v>1596</v>
      </c>
      <c r="E85" s="9">
        <v>1867</v>
      </c>
      <c r="F85" s="9">
        <v>24</v>
      </c>
      <c r="G85" s="9">
        <v>0</v>
      </c>
      <c r="H85" s="9">
        <v>3658</v>
      </c>
      <c r="I85" s="11">
        <f>C85-H85</f>
        <v>136</v>
      </c>
    </row>
    <row r="86" spans="1:9" x14ac:dyDescent="0.35">
      <c r="A86" s="9">
        <v>84</v>
      </c>
      <c r="B86" s="10" t="s">
        <v>280</v>
      </c>
      <c r="C86" s="9">
        <v>858</v>
      </c>
      <c r="D86" s="9">
        <v>154</v>
      </c>
      <c r="E86" s="9">
        <v>545</v>
      </c>
      <c r="F86" s="9">
        <v>19</v>
      </c>
      <c r="G86" s="9">
        <v>1</v>
      </c>
      <c r="H86" s="9">
        <v>725</v>
      </c>
      <c r="I86" s="11">
        <f>C86-H86</f>
        <v>133</v>
      </c>
    </row>
    <row r="87" spans="1:9" x14ac:dyDescent="0.35">
      <c r="A87" s="9">
        <v>85</v>
      </c>
      <c r="B87" s="10" t="s">
        <v>155</v>
      </c>
      <c r="C87" s="9">
        <v>524</v>
      </c>
      <c r="D87" s="9">
        <v>192</v>
      </c>
      <c r="E87" s="9">
        <v>162</v>
      </c>
      <c r="F87" s="9">
        <v>13</v>
      </c>
      <c r="G87" s="9">
        <v>0</v>
      </c>
      <c r="H87" s="9">
        <v>393</v>
      </c>
      <c r="I87" s="11">
        <f>C87-H87</f>
        <v>131</v>
      </c>
    </row>
    <row r="88" spans="1:9" x14ac:dyDescent="0.35">
      <c r="A88" s="9">
        <v>86</v>
      </c>
      <c r="B88" s="10" t="s">
        <v>149</v>
      </c>
      <c r="C88" s="9">
        <v>809</v>
      </c>
      <c r="D88" s="9">
        <v>191</v>
      </c>
      <c r="E88" s="9">
        <v>344</v>
      </c>
      <c r="F88" s="9">
        <v>139</v>
      </c>
      <c r="G88" s="9">
        <v>5</v>
      </c>
      <c r="H88" s="9">
        <v>681</v>
      </c>
      <c r="I88" s="11">
        <f>C88-H88</f>
        <v>128</v>
      </c>
    </row>
    <row r="89" spans="1:9" x14ac:dyDescent="0.35">
      <c r="A89" s="9">
        <v>87</v>
      </c>
      <c r="B89" s="10" t="s">
        <v>131</v>
      </c>
      <c r="C89" s="9">
        <v>545</v>
      </c>
      <c r="D89" s="9">
        <v>127</v>
      </c>
      <c r="E89" s="9">
        <v>235</v>
      </c>
      <c r="F89" s="9">
        <v>43</v>
      </c>
      <c r="G89" s="9">
        <v>3</v>
      </c>
      <c r="H89" s="9">
        <v>420</v>
      </c>
      <c r="I89" s="11">
        <f>C89-H89</f>
        <v>125</v>
      </c>
    </row>
    <row r="90" spans="1:9" x14ac:dyDescent="0.35">
      <c r="A90" s="9">
        <v>88</v>
      </c>
      <c r="B90" s="10" t="s">
        <v>133</v>
      </c>
      <c r="C90" s="9">
        <v>865</v>
      </c>
      <c r="D90" s="9">
        <v>65</v>
      </c>
      <c r="E90" s="9">
        <v>663</v>
      </c>
      <c r="F90" s="9">
        <v>12</v>
      </c>
      <c r="G90" s="9">
        <v>0</v>
      </c>
      <c r="H90" s="9">
        <v>741</v>
      </c>
      <c r="I90" s="11">
        <f>C90-H90</f>
        <v>124</v>
      </c>
    </row>
    <row r="91" spans="1:9" x14ac:dyDescent="0.35">
      <c r="A91" s="9">
        <v>89</v>
      </c>
      <c r="B91" s="10" t="s">
        <v>245</v>
      </c>
      <c r="C91" s="9">
        <v>240</v>
      </c>
      <c r="D91" s="9">
        <v>20</v>
      </c>
      <c r="E91" s="9">
        <v>84</v>
      </c>
      <c r="F91" s="9">
        <v>0</v>
      </c>
      <c r="G91" s="9">
        <v>0</v>
      </c>
      <c r="H91" s="9">
        <v>117</v>
      </c>
      <c r="I91" s="11">
        <f>C91-H91</f>
        <v>123</v>
      </c>
    </row>
    <row r="92" spans="1:9" x14ac:dyDescent="0.35">
      <c r="A92" s="9">
        <v>90</v>
      </c>
      <c r="B92" s="10" t="s">
        <v>232</v>
      </c>
      <c r="C92" s="9">
        <v>632</v>
      </c>
      <c r="D92" s="9">
        <v>199</v>
      </c>
      <c r="E92" s="9">
        <v>273</v>
      </c>
      <c r="F92" s="9">
        <v>29</v>
      </c>
      <c r="G92" s="9">
        <v>0</v>
      </c>
      <c r="H92" s="9">
        <v>510</v>
      </c>
      <c r="I92" s="11">
        <f>C92-H92</f>
        <v>122</v>
      </c>
    </row>
    <row r="93" spans="1:9" x14ac:dyDescent="0.35">
      <c r="A93" s="9">
        <v>91</v>
      </c>
      <c r="B93" s="10" t="s">
        <v>281</v>
      </c>
      <c r="C93" s="9">
        <v>875</v>
      </c>
      <c r="D93" s="9">
        <v>158</v>
      </c>
      <c r="E93" s="9">
        <v>344</v>
      </c>
      <c r="F93" s="9">
        <v>4</v>
      </c>
      <c r="G93" s="9">
        <v>0</v>
      </c>
      <c r="H93" s="9">
        <v>755</v>
      </c>
      <c r="I93" s="11">
        <f>C93-H93</f>
        <v>120</v>
      </c>
    </row>
    <row r="94" spans="1:9" x14ac:dyDescent="0.35">
      <c r="A94" s="9">
        <v>92</v>
      </c>
      <c r="B94" s="10" t="s">
        <v>243</v>
      </c>
      <c r="C94" s="9">
        <v>430</v>
      </c>
      <c r="D94" s="9">
        <v>40</v>
      </c>
      <c r="E94" s="9">
        <v>268</v>
      </c>
      <c r="F94" s="9">
        <v>0</v>
      </c>
      <c r="G94" s="9">
        <v>0</v>
      </c>
      <c r="H94" s="9">
        <v>311</v>
      </c>
      <c r="I94" s="11">
        <f>C94-H94</f>
        <v>119</v>
      </c>
    </row>
    <row r="95" spans="1:9" x14ac:dyDescent="0.35">
      <c r="A95" s="9">
        <v>93</v>
      </c>
      <c r="B95" s="10" t="s">
        <v>204</v>
      </c>
      <c r="C95" s="9">
        <v>1722</v>
      </c>
      <c r="D95" s="9">
        <v>505</v>
      </c>
      <c r="E95" s="9">
        <v>1056</v>
      </c>
      <c r="F95" s="9">
        <v>12</v>
      </c>
      <c r="G95" s="9">
        <v>0</v>
      </c>
      <c r="H95" s="9">
        <v>1604</v>
      </c>
      <c r="I95" s="11">
        <f>C95-H95</f>
        <v>118</v>
      </c>
    </row>
    <row r="96" spans="1:9" x14ac:dyDescent="0.35">
      <c r="A96" s="9">
        <v>94</v>
      </c>
      <c r="B96" s="10" t="s">
        <v>69</v>
      </c>
      <c r="C96" s="9">
        <v>690</v>
      </c>
      <c r="D96" s="9">
        <v>71</v>
      </c>
      <c r="E96" s="9">
        <v>441</v>
      </c>
      <c r="F96" s="9">
        <v>11</v>
      </c>
      <c r="G96" s="9">
        <v>7</v>
      </c>
      <c r="H96" s="9">
        <v>574</v>
      </c>
      <c r="I96" s="11">
        <f>C96-H96</f>
        <v>116</v>
      </c>
    </row>
    <row r="97" spans="1:9" x14ac:dyDescent="0.35">
      <c r="A97" s="9">
        <v>95</v>
      </c>
      <c r="B97" s="10" t="s">
        <v>166</v>
      </c>
      <c r="C97" s="9">
        <v>224</v>
      </c>
      <c r="D97" s="9">
        <v>12</v>
      </c>
      <c r="E97" s="9">
        <v>87</v>
      </c>
      <c r="F97" s="9">
        <v>9</v>
      </c>
      <c r="G97" s="9">
        <v>0</v>
      </c>
      <c r="H97" s="9">
        <v>108</v>
      </c>
      <c r="I97" s="11">
        <f>C97-H97</f>
        <v>116</v>
      </c>
    </row>
    <row r="98" spans="1:9" x14ac:dyDescent="0.35">
      <c r="A98" s="9">
        <v>96</v>
      </c>
      <c r="B98" s="10" t="s">
        <v>129</v>
      </c>
      <c r="C98" s="9">
        <v>350</v>
      </c>
      <c r="D98" s="9">
        <v>56</v>
      </c>
      <c r="E98" s="9">
        <v>147</v>
      </c>
      <c r="F98" s="9">
        <v>30</v>
      </c>
      <c r="G98" s="9">
        <v>0</v>
      </c>
      <c r="H98" s="9">
        <v>235</v>
      </c>
      <c r="I98" s="11">
        <f>C98-H98</f>
        <v>115</v>
      </c>
    </row>
    <row r="99" spans="1:9" x14ac:dyDescent="0.35">
      <c r="A99" s="9">
        <v>97</v>
      </c>
      <c r="B99" s="10" t="s">
        <v>207</v>
      </c>
      <c r="C99" s="9">
        <v>5224</v>
      </c>
      <c r="D99" s="9">
        <v>1339</v>
      </c>
      <c r="E99" s="9">
        <v>3701</v>
      </c>
      <c r="F99" s="9">
        <v>3</v>
      </c>
      <c r="G99" s="9">
        <v>57</v>
      </c>
      <c r="H99" s="9">
        <v>5109</v>
      </c>
      <c r="I99" s="11">
        <f>C99-H99</f>
        <v>115</v>
      </c>
    </row>
    <row r="100" spans="1:9" x14ac:dyDescent="0.35">
      <c r="A100" s="9">
        <v>98</v>
      </c>
      <c r="B100" s="10" t="s">
        <v>45</v>
      </c>
      <c r="C100" s="9">
        <v>409</v>
      </c>
      <c r="D100" s="9">
        <v>133</v>
      </c>
      <c r="E100" s="9">
        <v>142</v>
      </c>
      <c r="F100" s="9">
        <v>5</v>
      </c>
      <c r="G100" s="9">
        <v>0</v>
      </c>
      <c r="H100" s="9">
        <v>295</v>
      </c>
      <c r="I100" s="11">
        <f>C100-H100</f>
        <v>114</v>
      </c>
    </row>
    <row r="101" spans="1:9" x14ac:dyDescent="0.35">
      <c r="A101" s="9">
        <v>99</v>
      </c>
      <c r="B101" s="10" t="s">
        <v>137</v>
      </c>
      <c r="C101" s="9">
        <v>333</v>
      </c>
      <c r="D101" s="9">
        <v>164</v>
      </c>
      <c r="E101" s="9">
        <v>35</v>
      </c>
      <c r="F101" s="9">
        <v>2</v>
      </c>
      <c r="G101" s="9">
        <v>0</v>
      </c>
      <c r="H101" s="9">
        <v>220</v>
      </c>
      <c r="I101" s="11">
        <f>C101-H101</f>
        <v>113</v>
      </c>
    </row>
    <row r="102" spans="1:9" x14ac:dyDescent="0.35">
      <c r="A102" s="9">
        <v>100</v>
      </c>
      <c r="B102" s="10" t="s">
        <v>127</v>
      </c>
      <c r="C102" s="9">
        <v>1051</v>
      </c>
      <c r="D102" s="9">
        <v>214</v>
      </c>
      <c r="E102" s="9">
        <v>594</v>
      </c>
      <c r="F102" s="9">
        <v>33</v>
      </c>
      <c r="G102" s="9">
        <v>25</v>
      </c>
      <c r="H102" s="9">
        <v>940</v>
      </c>
      <c r="I102" s="11">
        <f>C102-H102</f>
        <v>111</v>
      </c>
    </row>
    <row r="103" spans="1:9" x14ac:dyDescent="0.35">
      <c r="A103" s="9">
        <v>101</v>
      </c>
      <c r="B103" s="10" t="s">
        <v>309</v>
      </c>
      <c r="C103" s="9">
        <v>1626</v>
      </c>
      <c r="D103" s="9">
        <v>6</v>
      </c>
      <c r="E103" s="9">
        <v>944</v>
      </c>
      <c r="F103" s="9">
        <v>4</v>
      </c>
      <c r="G103" s="9">
        <v>0</v>
      </c>
      <c r="H103" s="9">
        <v>1517</v>
      </c>
      <c r="I103" s="11">
        <f>C103-H103</f>
        <v>109</v>
      </c>
    </row>
    <row r="104" spans="1:9" x14ac:dyDescent="0.35">
      <c r="A104" s="9">
        <v>102</v>
      </c>
      <c r="B104" s="10" t="s">
        <v>248</v>
      </c>
      <c r="C104" s="9">
        <v>213</v>
      </c>
      <c r="D104" s="9">
        <v>34</v>
      </c>
      <c r="E104" s="9">
        <v>65</v>
      </c>
      <c r="F104" s="9">
        <v>4</v>
      </c>
      <c r="G104" s="9">
        <v>0</v>
      </c>
      <c r="H104" s="9">
        <v>104</v>
      </c>
      <c r="I104" s="11">
        <f>C104-H104</f>
        <v>109</v>
      </c>
    </row>
    <row r="105" spans="1:9" x14ac:dyDescent="0.35">
      <c r="A105" s="9">
        <v>103</v>
      </c>
      <c r="B105" s="10" t="s">
        <v>8</v>
      </c>
      <c r="C105" s="9">
        <v>229</v>
      </c>
      <c r="D105" s="9">
        <v>34</v>
      </c>
      <c r="E105" s="9">
        <v>59</v>
      </c>
      <c r="F105" s="9">
        <v>25</v>
      </c>
      <c r="G105" s="9">
        <v>3</v>
      </c>
      <c r="H105" s="9">
        <v>121</v>
      </c>
      <c r="I105" s="11">
        <f>C105-H105</f>
        <v>108</v>
      </c>
    </row>
    <row r="106" spans="1:9" x14ac:dyDescent="0.35">
      <c r="A106" s="9">
        <v>104</v>
      </c>
      <c r="B106" s="10" t="s">
        <v>96</v>
      </c>
      <c r="C106" s="9">
        <v>867</v>
      </c>
      <c r="D106" s="9">
        <v>36</v>
      </c>
      <c r="E106" s="9">
        <v>721</v>
      </c>
      <c r="F106" s="9">
        <v>2</v>
      </c>
      <c r="G106" s="9">
        <v>0</v>
      </c>
      <c r="H106" s="9">
        <v>759</v>
      </c>
      <c r="I106" s="11">
        <f>C106-H106</f>
        <v>108</v>
      </c>
    </row>
    <row r="107" spans="1:9" x14ac:dyDescent="0.35">
      <c r="A107" s="9">
        <v>105</v>
      </c>
      <c r="B107" s="10" t="s">
        <v>183</v>
      </c>
      <c r="C107" s="9">
        <v>815</v>
      </c>
      <c r="D107" s="9">
        <v>258</v>
      </c>
      <c r="E107" s="9">
        <v>408</v>
      </c>
      <c r="F107" s="9">
        <v>32</v>
      </c>
      <c r="G107" s="9">
        <v>0</v>
      </c>
      <c r="H107" s="9">
        <v>708</v>
      </c>
      <c r="I107" s="11">
        <f>C107-H107</f>
        <v>107</v>
      </c>
    </row>
    <row r="108" spans="1:9" x14ac:dyDescent="0.35">
      <c r="A108" s="9">
        <v>106</v>
      </c>
      <c r="B108" s="10" t="s">
        <v>186</v>
      </c>
      <c r="C108" s="9">
        <v>347</v>
      </c>
      <c r="D108" s="9">
        <v>90</v>
      </c>
      <c r="E108" s="9">
        <v>148</v>
      </c>
      <c r="F108" s="9">
        <v>0</v>
      </c>
      <c r="G108" s="9">
        <v>0</v>
      </c>
      <c r="H108" s="9">
        <v>240</v>
      </c>
      <c r="I108" s="11">
        <f>C108-H108</f>
        <v>107</v>
      </c>
    </row>
    <row r="109" spans="1:9" x14ac:dyDescent="0.35">
      <c r="A109" s="9">
        <v>107</v>
      </c>
      <c r="B109" s="10" t="s">
        <v>282</v>
      </c>
      <c r="C109" s="9">
        <v>400</v>
      </c>
      <c r="D109" s="9">
        <v>76</v>
      </c>
      <c r="E109" s="9">
        <v>164</v>
      </c>
      <c r="F109" s="9">
        <v>11</v>
      </c>
      <c r="G109" s="9">
        <v>0</v>
      </c>
      <c r="H109" s="9">
        <v>294</v>
      </c>
      <c r="I109" s="11">
        <f>C109-H109</f>
        <v>106</v>
      </c>
    </row>
    <row r="110" spans="1:9" x14ac:dyDescent="0.35">
      <c r="A110" s="9">
        <v>108</v>
      </c>
      <c r="B110" s="10" t="s">
        <v>247</v>
      </c>
      <c r="C110" s="9">
        <v>3275</v>
      </c>
      <c r="D110" s="9">
        <v>1611</v>
      </c>
      <c r="E110" s="9">
        <v>1372</v>
      </c>
      <c r="F110" s="9">
        <v>124</v>
      </c>
      <c r="G110" s="9">
        <v>0</v>
      </c>
      <c r="H110" s="9">
        <v>3169</v>
      </c>
      <c r="I110" s="11">
        <f>C110-H110</f>
        <v>106</v>
      </c>
    </row>
    <row r="111" spans="1:9" x14ac:dyDescent="0.35">
      <c r="A111" s="9">
        <v>109</v>
      </c>
      <c r="B111" s="10" t="s">
        <v>209</v>
      </c>
      <c r="C111" s="9">
        <v>916</v>
      </c>
      <c r="D111" s="9">
        <v>137</v>
      </c>
      <c r="E111" s="9">
        <v>624</v>
      </c>
      <c r="F111" s="9">
        <v>26</v>
      </c>
      <c r="G111" s="9">
        <v>0</v>
      </c>
      <c r="H111" s="9">
        <v>811</v>
      </c>
      <c r="I111" s="11">
        <f>C111-H111</f>
        <v>105</v>
      </c>
    </row>
    <row r="112" spans="1:9" x14ac:dyDescent="0.35">
      <c r="A112" s="9">
        <v>110</v>
      </c>
      <c r="B112" s="10" t="s">
        <v>112</v>
      </c>
      <c r="C112" s="9">
        <v>358</v>
      </c>
      <c r="D112" s="9">
        <v>55</v>
      </c>
      <c r="E112" s="9">
        <v>134</v>
      </c>
      <c r="F112" s="9">
        <v>35</v>
      </c>
      <c r="G112" s="9">
        <v>0</v>
      </c>
      <c r="H112" s="9">
        <v>256</v>
      </c>
      <c r="I112" s="11">
        <f>C112-H112</f>
        <v>102</v>
      </c>
    </row>
    <row r="113" spans="1:9" x14ac:dyDescent="0.35">
      <c r="A113" s="9">
        <v>111</v>
      </c>
      <c r="B113" s="10" t="s">
        <v>169</v>
      </c>
      <c r="C113" s="9">
        <v>126</v>
      </c>
      <c r="D113" s="9">
        <v>9</v>
      </c>
      <c r="E113" s="9">
        <v>11</v>
      </c>
      <c r="F113" s="9">
        <v>3</v>
      </c>
      <c r="G113" s="9">
        <v>0</v>
      </c>
      <c r="H113" s="9">
        <v>24</v>
      </c>
      <c r="I113" s="11">
        <f>C113-H113</f>
        <v>102</v>
      </c>
    </row>
    <row r="114" spans="1:9" x14ac:dyDescent="0.35">
      <c r="A114" s="9">
        <v>112</v>
      </c>
      <c r="B114" s="10" t="s">
        <v>2</v>
      </c>
      <c r="C114" s="9">
        <v>207</v>
      </c>
      <c r="D114" s="9">
        <v>79</v>
      </c>
      <c r="E114" s="9">
        <v>26</v>
      </c>
      <c r="F114" s="9">
        <v>1</v>
      </c>
      <c r="G114" s="9">
        <v>0</v>
      </c>
      <c r="H114" s="9">
        <v>106</v>
      </c>
      <c r="I114" s="11">
        <f>C114-H114</f>
        <v>101</v>
      </c>
    </row>
    <row r="115" spans="1:9" x14ac:dyDescent="0.35">
      <c r="A115" s="9">
        <v>113</v>
      </c>
      <c r="B115" s="10" t="s">
        <v>110</v>
      </c>
      <c r="C115" s="9">
        <v>541</v>
      </c>
      <c r="D115" s="9">
        <v>10</v>
      </c>
      <c r="E115" s="9">
        <v>390</v>
      </c>
      <c r="F115" s="9">
        <v>39</v>
      </c>
      <c r="G115" s="9">
        <v>0</v>
      </c>
      <c r="H115" s="9">
        <v>440</v>
      </c>
      <c r="I115" s="11">
        <f>C115-H115</f>
        <v>101</v>
      </c>
    </row>
    <row r="116" spans="1:9" x14ac:dyDescent="0.35">
      <c r="A116" s="9">
        <v>114</v>
      </c>
      <c r="B116" s="10" t="s">
        <v>132</v>
      </c>
      <c r="C116" s="9">
        <v>512</v>
      </c>
      <c r="D116" s="9">
        <v>23</v>
      </c>
      <c r="E116" s="9">
        <v>384</v>
      </c>
      <c r="F116" s="9">
        <v>4</v>
      </c>
      <c r="G116" s="9">
        <v>0</v>
      </c>
      <c r="H116" s="9">
        <v>412</v>
      </c>
      <c r="I116" s="11">
        <f>C116-H116</f>
        <v>100</v>
      </c>
    </row>
    <row r="117" spans="1:9" x14ac:dyDescent="0.35">
      <c r="A117" s="9">
        <v>115</v>
      </c>
      <c r="B117" s="10" t="s">
        <v>125</v>
      </c>
      <c r="C117" s="9">
        <v>685</v>
      </c>
      <c r="D117" s="9">
        <v>250</v>
      </c>
      <c r="E117" s="9">
        <v>276</v>
      </c>
      <c r="F117" s="9">
        <v>5</v>
      </c>
      <c r="G117" s="9">
        <v>0</v>
      </c>
      <c r="H117" s="9">
        <v>589</v>
      </c>
      <c r="I117" s="11">
        <f>C117-H117</f>
        <v>96</v>
      </c>
    </row>
    <row r="118" spans="1:9" x14ac:dyDescent="0.35">
      <c r="A118" s="9">
        <v>116</v>
      </c>
      <c r="B118" s="10" t="s">
        <v>95</v>
      </c>
      <c r="C118" s="9">
        <v>409</v>
      </c>
      <c r="D118" s="9">
        <v>69</v>
      </c>
      <c r="E118" s="9">
        <v>227</v>
      </c>
      <c r="F118" s="9">
        <v>20</v>
      </c>
      <c r="G118" s="9">
        <v>0</v>
      </c>
      <c r="H118" s="9">
        <v>317</v>
      </c>
      <c r="I118" s="11">
        <f>C118-H118</f>
        <v>92</v>
      </c>
    </row>
    <row r="119" spans="1:9" x14ac:dyDescent="0.35">
      <c r="A119" s="9">
        <v>117</v>
      </c>
      <c r="B119" s="10" t="s">
        <v>138</v>
      </c>
      <c r="C119" s="9">
        <v>260</v>
      </c>
      <c r="D119" s="9">
        <v>25</v>
      </c>
      <c r="E119" s="9">
        <v>140</v>
      </c>
      <c r="F119" s="9">
        <v>0</v>
      </c>
      <c r="G119" s="9">
        <v>0</v>
      </c>
      <c r="H119" s="9">
        <v>168</v>
      </c>
      <c r="I119" s="11">
        <f>C119-H119</f>
        <v>92</v>
      </c>
    </row>
    <row r="120" spans="1:9" x14ac:dyDescent="0.35">
      <c r="A120" s="9">
        <v>118</v>
      </c>
      <c r="B120" s="10" t="s">
        <v>257</v>
      </c>
      <c r="C120" s="9">
        <v>303</v>
      </c>
      <c r="D120" s="9">
        <v>66</v>
      </c>
      <c r="E120" s="9">
        <v>111</v>
      </c>
      <c r="F120" s="9">
        <v>34</v>
      </c>
      <c r="G120" s="9">
        <v>0</v>
      </c>
      <c r="H120" s="9">
        <v>214</v>
      </c>
      <c r="I120" s="11">
        <f>C120-H120</f>
        <v>89</v>
      </c>
    </row>
    <row r="121" spans="1:9" x14ac:dyDescent="0.35">
      <c r="A121" s="9">
        <v>119</v>
      </c>
      <c r="B121" s="10" t="s">
        <v>65</v>
      </c>
      <c r="C121" s="9">
        <v>447</v>
      </c>
      <c r="D121" s="9">
        <v>313</v>
      </c>
      <c r="E121" s="9">
        <v>8</v>
      </c>
      <c r="F121" s="9">
        <v>0</v>
      </c>
      <c r="G121" s="9">
        <v>0</v>
      </c>
      <c r="H121" s="9">
        <v>361</v>
      </c>
      <c r="I121" s="11">
        <f>C121-H121</f>
        <v>86</v>
      </c>
    </row>
    <row r="122" spans="1:9" x14ac:dyDescent="0.35">
      <c r="A122" s="9">
        <v>120</v>
      </c>
      <c r="B122" s="10" t="s">
        <v>93</v>
      </c>
      <c r="C122" s="9">
        <v>1128</v>
      </c>
      <c r="D122" s="9">
        <v>231</v>
      </c>
      <c r="E122" s="9">
        <v>737</v>
      </c>
      <c r="F122" s="9">
        <v>24</v>
      </c>
      <c r="G122" s="9">
        <v>7</v>
      </c>
      <c r="H122" s="9">
        <v>1042</v>
      </c>
      <c r="I122" s="11">
        <f>C122-H122</f>
        <v>86</v>
      </c>
    </row>
    <row r="123" spans="1:9" x14ac:dyDescent="0.35">
      <c r="A123" s="9">
        <v>121</v>
      </c>
      <c r="B123" s="10" t="s">
        <v>100</v>
      </c>
      <c r="C123" s="9">
        <v>400</v>
      </c>
      <c r="D123" s="9">
        <v>125</v>
      </c>
      <c r="E123" s="9">
        <v>131</v>
      </c>
      <c r="F123" s="9">
        <v>39</v>
      </c>
      <c r="G123" s="9">
        <v>1</v>
      </c>
      <c r="H123" s="9">
        <v>314</v>
      </c>
      <c r="I123" s="11">
        <f>C123-H123</f>
        <v>86</v>
      </c>
    </row>
    <row r="124" spans="1:9" x14ac:dyDescent="0.35">
      <c r="A124" s="9">
        <v>122</v>
      </c>
      <c r="B124" s="10" t="s">
        <v>22</v>
      </c>
      <c r="C124" s="9">
        <v>557</v>
      </c>
      <c r="D124" s="9">
        <v>2</v>
      </c>
      <c r="E124" s="9">
        <v>457</v>
      </c>
      <c r="F124" s="9">
        <v>0</v>
      </c>
      <c r="G124" s="9">
        <v>0</v>
      </c>
      <c r="H124" s="9">
        <v>472</v>
      </c>
      <c r="I124" s="11">
        <f>C124-H124</f>
        <v>85</v>
      </c>
    </row>
    <row r="125" spans="1:9" x14ac:dyDescent="0.35">
      <c r="A125" s="9">
        <v>123</v>
      </c>
      <c r="B125" s="10" t="s">
        <v>113</v>
      </c>
      <c r="C125" s="9">
        <v>639</v>
      </c>
      <c r="D125" s="9">
        <v>74</v>
      </c>
      <c r="E125" s="9">
        <v>357</v>
      </c>
      <c r="F125" s="9">
        <v>19</v>
      </c>
      <c r="G125" s="9">
        <v>11</v>
      </c>
      <c r="H125" s="9">
        <v>554</v>
      </c>
      <c r="I125" s="11">
        <f>C125-H125</f>
        <v>85</v>
      </c>
    </row>
    <row r="126" spans="1:9" x14ac:dyDescent="0.35">
      <c r="A126" s="9">
        <v>124</v>
      </c>
      <c r="B126" s="10" t="s">
        <v>91</v>
      </c>
      <c r="C126" s="9">
        <v>611</v>
      </c>
      <c r="D126" s="9">
        <v>121</v>
      </c>
      <c r="E126" s="9">
        <v>404</v>
      </c>
      <c r="F126" s="9">
        <v>0</v>
      </c>
      <c r="G126" s="9">
        <v>0</v>
      </c>
      <c r="H126" s="9">
        <v>527</v>
      </c>
      <c r="I126" s="11">
        <f>C126-H126</f>
        <v>84</v>
      </c>
    </row>
    <row r="127" spans="1:9" x14ac:dyDescent="0.35">
      <c r="A127" s="9">
        <v>125</v>
      </c>
      <c r="B127" s="10" t="s">
        <v>134</v>
      </c>
      <c r="C127" s="9">
        <v>720</v>
      </c>
      <c r="D127" s="9">
        <v>249</v>
      </c>
      <c r="E127" s="9">
        <v>387</v>
      </c>
      <c r="F127" s="9">
        <v>1</v>
      </c>
      <c r="G127" s="9">
        <v>0</v>
      </c>
      <c r="H127" s="9">
        <v>637</v>
      </c>
      <c r="I127" s="11">
        <f>C127-H127</f>
        <v>83</v>
      </c>
    </row>
    <row r="128" spans="1:9" x14ac:dyDescent="0.35">
      <c r="A128" s="9">
        <v>126</v>
      </c>
      <c r="B128" s="10" t="s">
        <v>225</v>
      </c>
      <c r="C128" s="9">
        <v>494</v>
      </c>
      <c r="D128" s="9">
        <v>90</v>
      </c>
      <c r="E128" s="9">
        <v>308</v>
      </c>
      <c r="F128" s="9">
        <v>12</v>
      </c>
      <c r="G128" s="9">
        <v>0</v>
      </c>
      <c r="H128" s="9">
        <v>411</v>
      </c>
      <c r="I128" s="11">
        <f>C128-H128</f>
        <v>83</v>
      </c>
    </row>
    <row r="129" spans="1:9" x14ac:dyDescent="0.35">
      <c r="A129" s="9">
        <v>127</v>
      </c>
      <c r="B129" s="10" t="s">
        <v>230</v>
      </c>
      <c r="C129" s="9">
        <v>181</v>
      </c>
      <c r="D129" s="9">
        <v>13</v>
      </c>
      <c r="E129" s="9">
        <v>85</v>
      </c>
      <c r="F129" s="9">
        <v>0</v>
      </c>
      <c r="G129" s="9">
        <v>0</v>
      </c>
      <c r="H129" s="9">
        <v>98</v>
      </c>
      <c r="I129" s="11">
        <f>C129-H129</f>
        <v>83</v>
      </c>
    </row>
    <row r="130" spans="1:9" x14ac:dyDescent="0.35">
      <c r="A130" s="9">
        <v>128</v>
      </c>
      <c r="B130" s="10" t="s">
        <v>123</v>
      </c>
      <c r="C130" s="9">
        <v>339</v>
      </c>
      <c r="D130" s="9">
        <v>65</v>
      </c>
      <c r="E130" s="9">
        <v>179</v>
      </c>
      <c r="F130" s="9">
        <v>9</v>
      </c>
      <c r="G130" s="9">
        <v>0</v>
      </c>
      <c r="H130" s="9">
        <v>258</v>
      </c>
      <c r="I130" s="11">
        <f>C130-H130</f>
        <v>81</v>
      </c>
    </row>
    <row r="131" spans="1:9" x14ac:dyDescent="0.35">
      <c r="A131" s="9">
        <v>129</v>
      </c>
      <c r="B131" s="10" t="s">
        <v>75</v>
      </c>
      <c r="C131" s="9">
        <v>338</v>
      </c>
      <c r="D131" s="9">
        <v>64</v>
      </c>
      <c r="E131" s="9">
        <v>175</v>
      </c>
      <c r="F131" s="9">
        <v>17</v>
      </c>
      <c r="G131" s="9">
        <v>1</v>
      </c>
      <c r="H131" s="9">
        <v>258</v>
      </c>
      <c r="I131" s="11">
        <f>C131-H131</f>
        <v>80</v>
      </c>
    </row>
    <row r="132" spans="1:9" x14ac:dyDescent="0.35">
      <c r="A132" s="9">
        <v>130</v>
      </c>
      <c r="B132" s="10" t="s">
        <v>249</v>
      </c>
      <c r="C132" s="9">
        <v>236</v>
      </c>
      <c r="D132" s="9">
        <v>79</v>
      </c>
      <c r="E132" s="9">
        <v>74</v>
      </c>
      <c r="F132" s="9">
        <v>1</v>
      </c>
      <c r="G132" s="9">
        <v>0</v>
      </c>
      <c r="H132" s="9">
        <v>156</v>
      </c>
      <c r="I132" s="11">
        <f>C132-H132</f>
        <v>80</v>
      </c>
    </row>
    <row r="133" spans="1:9" x14ac:dyDescent="0.35">
      <c r="A133" s="9">
        <v>131</v>
      </c>
      <c r="B133" s="10" t="s">
        <v>227</v>
      </c>
      <c r="C133" s="9">
        <v>277</v>
      </c>
      <c r="D133" s="9">
        <v>60</v>
      </c>
      <c r="E133" s="9">
        <v>101</v>
      </c>
      <c r="F133" s="9">
        <v>23</v>
      </c>
      <c r="G133" s="9">
        <v>0</v>
      </c>
      <c r="H133" s="9">
        <v>198</v>
      </c>
      <c r="I133" s="11">
        <f>C133-H133</f>
        <v>79</v>
      </c>
    </row>
    <row r="134" spans="1:9" x14ac:dyDescent="0.35">
      <c r="A134" s="9">
        <v>132</v>
      </c>
      <c r="B134" s="10" t="s">
        <v>164</v>
      </c>
      <c r="C134" s="9">
        <v>524</v>
      </c>
      <c r="D134" s="9">
        <v>129</v>
      </c>
      <c r="E134" s="9">
        <v>281</v>
      </c>
      <c r="F134" s="9">
        <v>18</v>
      </c>
      <c r="G134" s="9">
        <v>0</v>
      </c>
      <c r="H134" s="9">
        <v>446</v>
      </c>
      <c r="I134" s="11">
        <f>C134-H134</f>
        <v>78</v>
      </c>
    </row>
    <row r="135" spans="1:9" x14ac:dyDescent="0.35">
      <c r="A135" s="9">
        <v>133</v>
      </c>
      <c r="B135" s="10" t="s">
        <v>168</v>
      </c>
      <c r="C135" s="9">
        <v>523</v>
      </c>
      <c r="D135" s="9">
        <v>173</v>
      </c>
      <c r="E135" s="9">
        <v>255</v>
      </c>
      <c r="F135" s="9">
        <v>13</v>
      </c>
      <c r="G135" s="9">
        <v>0</v>
      </c>
      <c r="H135" s="9">
        <v>446</v>
      </c>
      <c r="I135" s="11">
        <f>C135-H135</f>
        <v>77</v>
      </c>
    </row>
    <row r="136" spans="1:9" x14ac:dyDescent="0.35">
      <c r="A136" s="9">
        <v>134</v>
      </c>
      <c r="B136" s="10" t="s">
        <v>226</v>
      </c>
      <c r="C136" s="9">
        <v>1092</v>
      </c>
      <c r="D136" s="9">
        <v>385</v>
      </c>
      <c r="E136" s="9">
        <v>525</v>
      </c>
      <c r="F136" s="9">
        <v>35</v>
      </c>
      <c r="G136" s="9">
        <v>1</v>
      </c>
      <c r="H136" s="9">
        <v>1015</v>
      </c>
      <c r="I136" s="11">
        <f>C136-H136</f>
        <v>77</v>
      </c>
    </row>
    <row r="137" spans="1:9" x14ac:dyDescent="0.35">
      <c r="A137" s="9">
        <v>135</v>
      </c>
      <c r="B137" s="10" t="s">
        <v>252</v>
      </c>
      <c r="C137" s="9">
        <v>275</v>
      </c>
      <c r="D137" s="9">
        <v>53</v>
      </c>
      <c r="E137" s="9">
        <v>132</v>
      </c>
      <c r="F137" s="9">
        <v>11</v>
      </c>
      <c r="G137" s="9">
        <v>0</v>
      </c>
      <c r="H137" s="9">
        <v>198</v>
      </c>
      <c r="I137" s="11">
        <f>C137-H137</f>
        <v>77</v>
      </c>
    </row>
    <row r="138" spans="1:9" x14ac:dyDescent="0.35">
      <c r="A138" s="9">
        <v>136</v>
      </c>
      <c r="B138" s="10" t="s">
        <v>151</v>
      </c>
      <c r="C138" s="9">
        <v>270</v>
      </c>
      <c r="D138" s="9">
        <v>59</v>
      </c>
      <c r="E138" s="9">
        <v>66</v>
      </c>
      <c r="F138" s="9">
        <v>63</v>
      </c>
      <c r="G138" s="9">
        <v>1</v>
      </c>
      <c r="H138" s="9">
        <v>195</v>
      </c>
      <c r="I138" s="11">
        <f>C138-H138</f>
        <v>75</v>
      </c>
    </row>
    <row r="139" spans="1:9" x14ac:dyDescent="0.35">
      <c r="A139" s="9">
        <v>137</v>
      </c>
      <c r="B139" s="10" t="s">
        <v>283</v>
      </c>
      <c r="C139" s="9">
        <v>512</v>
      </c>
      <c r="D139" s="9">
        <v>159</v>
      </c>
      <c r="E139" s="9">
        <v>260</v>
      </c>
      <c r="F139" s="9">
        <v>11</v>
      </c>
      <c r="G139" s="9">
        <v>0</v>
      </c>
      <c r="H139" s="9">
        <v>437</v>
      </c>
      <c r="I139" s="11">
        <f>C139-H139</f>
        <v>75</v>
      </c>
    </row>
    <row r="140" spans="1:9" x14ac:dyDescent="0.35">
      <c r="A140" s="9">
        <v>138</v>
      </c>
      <c r="B140" s="10" t="s">
        <v>284</v>
      </c>
      <c r="C140" s="9">
        <v>659</v>
      </c>
      <c r="D140" s="9">
        <v>108</v>
      </c>
      <c r="E140" s="9">
        <v>437</v>
      </c>
      <c r="F140" s="9">
        <v>31</v>
      </c>
      <c r="G140" s="9">
        <v>2</v>
      </c>
      <c r="H140" s="9">
        <v>586</v>
      </c>
      <c r="I140" s="11">
        <f>C140-H140</f>
        <v>73</v>
      </c>
    </row>
    <row r="141" spans="1:9" x14ac:dyDescent="0.35">
      <c r="A141" s="9">
        <v>139</v>
      </c>
      <c r="B141" s="10" t="s">
        <v>150</v>
      </c>
      <c r="C141" s="9">
        <v>533</v>
      </c>
      <c r="D141" s="9">
        <v>140</v>
      </c>
      <c r="E141" s="9">
        <v>283</v>
      </c>
      <c r="F141" s="9">
        <v>21</v>
      </c>
      <c r="G141" s="9">
        <v>0</v>
      </c>
      <c r="H141" s="9">
        <v>460</v>
      </c>
      <c r="I141" s="11">
        <f>C141-H141</f>
        <v>73</v>
      </c>
    </row>
    <row r="142" spans="1:9" x14ac:dyDescent="0.35">
      <c r="A142" s="9">
        <v>140</v>
      </c>
      <c r="B142" s="10" t="s">
        <v>285</v>
      </c>
      <c r="C142" s="9">
        <v>453</v>
      </c>
      <c r="D142" s="9">
        <v>68</v>
      </c>
      <c r="E142" s="9">
        <v>301</v>
      </c>
      <c r="F142" s="9">
        <v>0</v>
      </c>
      <c r="G142" s="9">
        <v>0</v>
      </c>
      <c r="H142" s="9">
        <v>381</v>
      </c>
      <c r="I142" s="11">
        <f>C142-H142</f>
        <v>72</v>
      </c>
    </row>
    <row r="143" spans="1:9" x14ac:dyDescent="0.35">
      <c r="A143" s="9">
        <v>141</v>
      </c>
      <c r="B143" s="10" t="s">
        <v>286</v>
      </c>
      <c r="C143" s="9">
        <v>529</v>
      </c>
      <c r="D143" s="9">
        <v>104</v>
      </c>
      <c r="E143" s="9">
        <v>353</v>
      </c>
      <c r="F143" s="9">
        <v>0</v>
      </c>
      <c r="G143" s="9">
        <v>0</v>
      </c>
      <c r="H143" s="9">
        <v>458</v>
      </c>
      <c r="I143" s="11">
        <f>C143-H143</f>
        <v>71</v>
      </c>
    </row>
    <row r="144" spans="1:9" x14ac:dyDescent="0.35">
      <c r="A144" s="9">
        <v>142</v>
      </c>
      <c r="B144" s="10" t="s">
        <v>287</v>
      </c>
      <c r="C144" s="9">
        <v>420</v>
      </c>
      <c r="D144" s="9">
        <v>63</v>
      </c>
      <c r="E144" s="9">
        <v>230</v>
      </c>
      <c r="F144" s="9">
        <v>51</v>
      </c>
      <c r="G144" s="9">
        <v>0</v>
      </c>
      <c r="H144" s="9">
        <v>350</v>
      </c>
      <c r="I144" s="11">
        <f>C144-H144</f>
        <v>70</v>
      </c>
    </row>
    <row r="145" spans="1:9" x14ac:dyDescent="0.35">
      <c r="A145" s="9">
        <v>143</v>
      </c>
      <c r="B145" s="10" t="s">
        <v>147</v>
      </c>
      <c r="C145" s="9">
        <v>254</v>
      </c>
      <c r="D145" s="9">
        <v>22</v>
      </c>
      <c r="E145" s="9">
        <v>113</v>
      </c>
      <c r="F145" s="9">
        <v>39</v>
      </c>
      <c r="G145" s="9">
        <v>9</v>
      </c>
      <c r="H145" s="9">
        <v>184</v>
      </c>
      <c r="I145" s="11">
        <f>C145-H145</f>
        <v>70</v>
      </c>
    </row>
    <row r="146" spans="1:9" x14ac:dyDescent="0.35">
      <c r="A146" s="9">
        <v>144</v>
      </c>
      <c r="B146" s="10" t="s">
        <v>260</v>
      </c>
      <c r="C146" s="9">
        <v>693</v>
      </c>
      <c r="D146" s="9">
        <v>265</v>
      </c>
      <c r="E146" s="9">
        <v>325</v>
      </c>
      <c r="F146" s="9">
        <v>24</v>
      </c>
      <c r="G146" s="9">
        <v>1</v>
      </c>
      <c r="H146" s="9">
        <v>624</v>
      </c>
      <c r="I146" s="11">
        <f>C146-H146</f>
        <v>69</v>
      </c>
    </row>
    <row r="147" spans="1:9" x14ac:dyDescent="0.35">
      <c r="A147" s="9">
        <v>145</v>
      </c>
      <c r="B147" s="10" t="s">
        <v>18</v>
      </c>
      <c r="C147" s="9">
        <v>596</v>
      </c>
      <c r="D147" s="9">
        <v>40</v>
      </c>
      <c r="E147" s="9">
        <v>439</v>
      </c>
      <c r="F147" s="9">
        <v>48</v>
      </c>
      <c r="G147" s="9">
        <v>0</v>
      </c>
      <c r="H147" s="9">
        <v>529</v>
      </c>
      <c r="I147" s="11">
        <f>C147-H147</f>
        <v>67</v>
      </c>
    </row>
    <row r="148" spans="1:9" x14ac:dyDescent="0.35">
      <c r="A148" s="9">
        <v>146</v>
      </c>
      <c r="B148" s="10" t="s">
        <v>229</v>
      </c>
      <c r="C148" s="9">
        <v>436</v>
      </c>
      <c r="D148" s="9">
        <v>52</v>
      </c>
      <c r="E148" s="9">
        <v>282</v>
      </c>
      <c r="F148" s="9">
        <v>32</v>
      </c>
      <c r="G148" s="9">
        <v>0</v>
      </c>
      <c r="H148" s="9">
        <v>370</v>
      </c>
      <c r="I148" s="11">
        <f>C148-H148</f>
        <v>66</v>
      </c>
    </row>
    <row r="149" spans="1:9" x14ac:dyDescent="0.35">
      <c r="A149" s="9">
        <v>147</v>
      </c>
      <c r="B149" s="10" t="s">
        <v>288</v>
      </c>
      <c r="C149" s="9">
        <v>297</v>
      </c>
      <c r="D149" s="9">
        <v>152</v>
      </c>
      <c r="E149" s="9">
        <v>77</v>
      </c>
      <c r="F149" s="9">
        <v>2</v>
      </c>
      <c r="G149" s="9">
        <v>0</v>
      </c>
      <c r="H149" s="9">
        <v>232</v>
      </c>
      <c r="I149" s="11">
        <f>C149-H149</f>
        <v>65</v>
      </c>
    </row>
    <row r="150" spans="1:9" x14ac:dyDescent="0.35">
      <c r="A150" s="9">
        <v>148</v>
      </c>
      <c r="B150" s="10" t="s">
        <v>32</v>
      </c>
      <c r="C150" s="9">
        <v>234</v>
      </c>
      <c r="D150" s="9">
        <v>38</v>
      </c>
      <c r="E150" s="9">
        <v>121</v>
      </c>
      <c r="F150" s="9">
        <v>13</v>
      </c>
      <c r="G150" s="9">
        <v>0</v>
      </c>
      <c r="H150" s="9">
        <v>172</v>
      </c>
      <c r="I150" s="11">
        <f>C150-H150</f>
        <v>62</v>
      </c>
    </row>
    <row r="151" spans="1:9" x14ac:dyDescent="0.35">
      <c r="A151" s="9">
        <v>149</v>
      </c>
      <c r="B151" s="10" t="s">
        <v>289</v>
      </c>
      <c r="C151" s="9">
        <v>814</v>
      </c>
      <c r="D151" s="9">
        <v>272</v>
      </c>
      <c r="E151" s="9">
        <v>359</v>
      </c>
      <c r="F151" s="9">
        <v>15</v>
      </c>
      <c r="G151" s="9">
        <v>2</v>
      </c>
      <c r="H151" s="9">
        <v>752</v>
      </c>
      <c r="I151" s="11">
        <f>C151-H151</f>
        <v>62</v>
      </c>
    </row>
    <row r="152" spans="1:9" x14ac:dyDescent="0.35">
      <c r="A152" s="9">
        <v>150</v>
      </c>
      <c r="B152" s="10" t="s">
        <v>159</v>
      </c>
      <c r="C152" s="9">
        <v>179</v>
      </c>
      <c r="D152" s="9">
        <v>88</v>
      </c>
      <c r="E152" s="9">
        <v>28</v>
      </c>
      <c r="F152" s="9">
        <v>1</v>
      </c>
      <c r="G152" s="9">
        <v>0</v>
      </c>
      <c r="H152" s="9">
        <v>117</v>
      </c>
      <c r="I152" s="11">
        <f>C152-H152</f>
        <v>62</v>
      </c>
    </row>
    <row r="153" spans="1:9" x14ac:dyDescent="0.35">
      <c r="A153" s="9">
        <v>151</v>
      </c>
      <c r="B153" s="10" t="s">
        <v>244</v>
      </c>
      <c r="C153" s="9">
        <v>261</v>
      </c>
      <c r="D153" s="9">
        <v>64</v>
      </c>
      <c r="E153" s="9">
        <v>136</v>
      </c>
      <c r="F153" s="9">
        <v>0</v>
      </c>
      <c r="G153" s="9">
        <v>0</v>
      </c>
      <c r="H153" s="9">
        <v>200</v>
      </c>
      <c r="I153" s="11">
        <f>C153-H153</f>
        <v>61</v>
      </c>
    </row>
    <row r="154" spans="1:9" x14ac:dyDescent="0.35">
      <c r="A154" s="9">
        <v>152</v>
      </c>
      <c r="B154" s="10" t="s">
        <v>25</v>
      </c>
      <c r="C154" s="9">
        <v>458</v>
      </c>
      <c r="D154" s="9">
        <v>94</v>
      </c>
      <c r="E154" s="9">
        <v>273</v>
      </c>
      <c r="F154" s="9">
        <v>20</v>
      </c>
      <c r="G154" s="9">
        <v>0</v>
      </c>
      <c r="H154" s="9">
        <v>398</v>
      </c>
      <c r="I154" s="11">
        <f>C154-H154</f>
        <v>60</v>
      </c>
    </row>
    <row r="155" spans="1:9" x14ac:dyDescent="0.35">
      <c r="A155" s="9">
        <v>153</v>
      </c>
      <c r="B155" s="10" t="s">
        <v>200</v>
      </c>
      <c r="C155" s="9">
        <v>61</v>
      </c>
      <c r="D155" s="9">
        <v>2</v>
      </c>
      <c r="E155" s="9">
        <v>0</v>
      </c>
      <c r="F155" s="9">
        <v>0</v>
      </c>
      <c r="G155" s="9">
        <v>0</v>
      </c>
      <c r="H155" s="9">
        <v>2</v>
      </c>
      <c r="I155" s="11">
        <f>C155-H155</f>
        <v>59</v>
      </c>
    </row>
    <row r="156" spans="1:9" x14ac:dyDescent="0.35">
      <c r="A156" s="9">
        <v>154</v>
      </c>
      <c r="B156" s="10" t="s">
        <v>31</v>
      </c>
      <c r="C156" s="9">
        <v>342</v>
      </c>
      <c r="D156" s="9">
        <v>50</v>
      </c>
      <c r="E156" s="9">
        <v>219</v>
      </c>
      <c r="F156" s="9">
        <v>15</v>
      </c>
      <c r="G156" s="9">
        <v>0</v>
      </c>
      <c r="H156" s="9">
        <v>284</v>
      </c>
      <c r="I156" s="11">
        <f>C156-H156</f>
        <v>58</v>
      </c>
    </row>
    <row r="157" spans="1:9" x14ac:dyDescent="0.35">
      <c r="A157" s="9">
        <v>155</v>
      </c>
      <c r="B157" s="10" t="s">
        <v>224</v>
      </c>
      <c r="C157" s="9">
        <v>768</v>
      </c>
      <c r="D157" s="9">
        <v>196</v>
      </c>
      <c r="E157" s="9">
        <v>323</v>
      </c>
      <c r="F157" s="9">
        <v>9</v>
      </c>
      <c r="G157" s="9">
        <v>0</v>
      </c>
      <c r="H157" s="9">
        <v>710</v>
      </c>
      <c r="I157" s="11">
        <f>C157-H157</f>
        <v>58</v>
      </c>
    </row>
    <row r="158" spans="1:9" x14ac:dyDescent="0.35">
      <c r="A158" s="9">
        <v>156</v>
      </c>
      <c r="B158" s="10" t="s">
        <v>29</v>
      </c>
      <c r="C158" s="9">
        <v>245</v>
      </c>
      <c r="D158" s="9">
        <v>16</v>
      </c>
      <c r="E158" s="9">
        <v>96</v>
      </c>
      <c r="F158" s="9">
        <v>74</v>
      </c>
      <c r="G158" s="9">
        <v>0</v>
      </c>
      <c r="H158" s="9">
        <v>188</v>
      </c>
      <c r="I158" s="11">
        <f>C158-H158</f>
        <v>57</v>
      </c>
    </row>
    <row r="159" spans="1:9" x14ac:dyDescent="0.35">
      <c r="A159" s="9">
        <v>157</v>
      </c>
      <c r="B159" s="10" t="s">
        <v>176</v>
      </c>
      <c r="C159" s="9">
        <v>329</v>
      </c>
      <c r="D159" s="9">
        <v>118</v>
      </c>
      <c r="E159" s="9">
        <v>116</v>
      </c>
      <c r="F159" s="9">
        <v>37</v>
      </c>
      <c r="G159" s="9">
        <v>0</v>
      </c>
      <c r="H159" s="9">
        <v>272</v>
      </c>
      <c r="I159" s="11">
        <f>C159-H159</f>
        <v>57</v>
      </c>
    </row>
    <row r="160" spans="1:9" x14ac:dyDescent="0.35">
      <c r="A160" s="9">
        <v>158</v>
      </c>
      <c r="B160" s="10" t="s">
        <v>231</v>
      </c>
      <c r="C160" s="9">
        <v>245</v>
      </c>
      <c r="D160" s="9">
        <v>102</v>
      </c>
      <c r="E160" s="9">
        <v>80</v>
      </c>
      <c r="F160" s="9">
        <v>8</v>
      </c>
      <c r="G160" s="9">
        <v>0</v>
      </c>
      <c r="H160" s="9">
        <v>191</v>
      </c>
      <c r="I160" s="11">
        <f>C160-H160</f>
        <v>54</v>
      </c>
    </row>
    <row r="161" spans="1:9" x14ac:dyDescent="0.35">
      <c r="A161" s="9">
        <v>159</v>
      </c>
      <c r="B161" s="10" t="s">
        <v>290</v>
      </c>
      <c r="C161" s="9">
        <v>543</v>
      </c>
      <c r="D161" s="9">
        <v>175</v>
      </c>
      <c r="E161" s="9">
        <v>309</v>
      </c>
      <c r="F161" s="9">
        <v>1</v>
      </c>
      <c r="G161" s="9">
        <v>0</v>
      </c>
      <c r="H161" s="9">
        <v>490</v>
      </c>
      <c r="I161" s="11">
        <f>C161-H161</f>
        <v>53</v>
      </c>
    </row>
    <row r="162" spans="1:9" x14ac:dyDescent="0.35">
      <c r="A162" s="9">
        <v>160</v>
      </c>
      <c r="B162" s="10" t="s">
        <v>141</v>
      </c>
      <c r="C162" s="9">
        <v>572</v>
      </c>
      <c r="D162" s="9">
        <v>88</v>
      </c>
      <c r="E162" s="9">
        <v>405</v>
      </c>
      <c r="F162" s="9">
        <v>19</v>
      </c>
      <c r="G162" s="9">
        <v>0</v>
      </c>
      <c r="H162" s="9">
        <v>519</v>
      </c>
      <c r="I162" s="11">
        <f>C162-H162</f>
        <v>53</v>
      </c>
    </row>
    <row r="163" spans="1:9" x14ac:dyDescent="0.35">
      <c r="A163" s="9">
        <v>161</v>
      </c>
      <c r="B163" s="10" t="s">
        <v>103</v>
      </c>
      <c r="C163" s="9">
        <v>559</v>
      </c>
      <c r="D163" s="9">
        <v>45</v>
      </c>
      <c r="E163" s="9">
        <v>437</v>
      </c>
      <c r="F163" s="9">
        <v>20</v>
      </c>
      <c r="G163" s="9">
        <v>0</v>
      </c>
      <c r="H163" s="9">
        <v>507</v>
      </c>
      <c r="I163" s="11">
        <f>C163-H163</f>
        <v>52</v>
      </c>
    </row>
    <row r="164" spans="1:9" x14ac:dyDescent="0.35">
      <c r="A164" s="9">
        <v>162</v>
      </c>
      <c r="B164" s="10" t="s">
        <v>291</v>
      </c>
      <c r="C164" s="9">
        <v>506</v>
      </c>
      <c r="D164" s="9">
        <v>135</v>
      </c>
      <c r="E164" s="9">
        <v>319</v>
      </c>
      <c r="F164" s="9">
        <v>0</v>
      </c>
      <c r="G164" s="9">
        <v>0</v>
      </c>
      <c r="H164" s="9">
        <v>455</v>
      </c>
      <c r="I164" s="11">
        <f>C164-H164</f>
        <v>51</v>
      </c>
    </row>
    <row r="165" spans="1:9" x14ac:dyDescent="0.35">
      <c r="A165" s="9">
        <v>163</v>
      </c>
      <c r="B165" s="10" t="s">
        <v>292</v>
      </c>
      <c r="C165" s="9">
        <v>2256</v>
      </c>
      <c r="D165" s="9">
        <v>505</v>
      </c>
      <c r="E165" s="9">
        <v>1057</v>
      </c>
      <c r="F165" s="9">
        <v>549</v>
      </c>
      <c r="G165" s="9">
        <v>83</v>
      </c>
      <c r="H165" s="9">
        <v>2205</v>
      </c>
      <c r="I165" s="11">
        <f>C165-H165</f>
        <v>51</v>
      </c>
    </row>
    <row r="166" spans="1:9" x14ac:dyDescent="0.35">
      <c r="A166" s="9">
        <v>164</v>
      </c>
      <c r="B166" s="10" t="s">
        <v>162</v>
      </c>
      <c r="C166" s="9">
        <v>179</v>
      </c>
      <c r="D166" s="9">
        <v>39</v>
      </c>
      <c r="E166" s="9">
        <v>76</v>
      </c>
      <c r="F166" s="9">
        <v>11</v>
      </c>
      <c r="G166" s="9">
        <v>3</v>
      </c>
      <c r="H166" s="9">
        <v>129</v>
      </c>
      <c r="I166" s="11">
        <f>C166-H166</f>
        <v>50</v>
      </c>
    </row>
    <row r="167" spans="1:9" x14ac:dyDescent="0.35">
      <c r="A167" s="9">
        <v>165</v>
      </c>
      <c r="B167" s="10" t="s">
        <v>174</v>
      </c>
      <c r="C167" s="9">
        <v>352</v>
      </c>
      <c r="D167" s="9">
        <v>137</v>
      </c>
      <c r="E167" s="9">
        <v>147</v>
      </c>
      <c r="F167" s="9">
        <v>0</v>
      </c>
      <c r="G167" s="9">
        <v>0</v>
      </c>
      <c r="H167" s="9">
        <v>303</v>
      </c>
      <c r="I167" s="11">
        <f>C167-H167</f>
        <v>49</v>
      </c>
    </row>
    <row r="168" spans="1:9" x14ac:dyDescent="0.35">
      <c r="A168" s="9">
        <v>166</v>
      </c>
      <c r="B168" s="10" t="s">
        <v>293</v>
      </c>
      <c r="C168" s="9">
        <v>233</v>
      </c>
      <c r="D168" s="9">
        <v>93</v>
      </c>
      <c r="E168" s="9">
        <v>88</v>
      </c>
      <c r="F168" s="9">
        <v>0</v>
      </c>
      <c r="G168" s="9">
        <v>0</v>
      </c>
      <c r="H168" s="9">
        <v>185</v>
      </c>
      <c r="I168" s="11">
        <f>C168-H168</f>
        <v>48</v>
      </c>
    </row>
    <row r="169" spans="1:9" x14ac:dyDescent="0.35">
      <c r="A169" s="9">
        <v>167</v>
      </c>
      <c r="B169" s="10" t="s">
        <v>78</v>
      </c>
      <c r="C169" s="9">
        <v>346</v>
      </c>
      <c r="D169" s="9">
        <v>116</v>
      </c>
      <c r="E169" s="9">
        <v>162</v>
      </c>
      <c r="F169" s="9">
        <v>14</v>
      </c>
      <c r="G169" s="9">
        <v>0</v>
      </c>
      <c r="H169" s="9">
        <v>299</v>
      </c>
      <c r="I169" s="11">
        <f>C169-H169</f>
        <v>47</v>
      </c>
    </row>
    <row r="170" spans="1:9" x14ac:dyDescent="0.35">
      <c r="A170" s="9">
        <v>168</v>
      </c>
      <c r="B170" s="10" t="s">
        <v>117</v>
      </c>
      <c r="C170" s="9">
        <v>320</v>
      </c>
      <c r="D170" s="9">
        <v>64</v>
      </c>
      <c r="E170" s="9">
        <v>192</v>
      </c>
      <c r="F170" s="9">
        <v>10</v>
      </c>
      <c r="G170" s="9">
        <v>0</v>
      </c>
      <c r="H170" s="9">
        <v>274</v>
      </c>
      <c r="I170" s="11">
        <f>C170-H170</f>
        <v>46</v>
      </c>
    </row>
    <row r="171" spans="1:9" x14ac:dyDescent="0.35">
      <c r="A171" s="9">
        <v>169</v>
      </c>
      <c r="B171" s="10" t="s">
        <v>294</v>
      </c>
      <c r="C171" s="9">
        <v>348</v>
      </c>
      <c r="D171" s="9">
        <v>73</v>
      </c>
      <c r="E171" s="9">
        <v>206</v>
      </c>
      <c r="F171" s="9">
        <v>13</v>
      </c>
      <c r="G171" s="9">
        <v>0</v>
      </c>
      <c r="H171" s="9">
        <v>305</v>
      </c>
      <c r="I171" s="11">
        <f>C171-H171</f>
        <v>43</v>
      </c>
    </row>
    <row r="172" spans="1:9" x14ac:dyDescent="0.35">
      <c r="A172" s="9">
        <v>170</v>
      </c>
      <c r="B172" s="10" t="s">
        <v>120</v>
      </c>
      <c r="C172" s="9">
        <v>326</v>
      </c>
      <c r="D172" s="9">
        <v>103</v>
      </c>
      <c r="E172" s="9">
        <v>157</v>
      </c>
      <c r="F172" s="9">
        <v>5</v>
      </c>
      <c r="G172" s="9">
        <v>0</v>
      </c>
      <c r="H172" s="9">
        <v>285</v>
      </c>
      <c r="I172" s="11">
        <f>C172-H172</f>
        <v>41</v>
      </c>
    </row>
    <row r="173" spans="1:9" x14ac:dyDescent="0.35">
      <c r="A173" s="9">
        <v>171</v>
      </c>
      <c r="B173" s="10" t="s">
        <v>182</v>
      </c>
      <c r="C173" s="9">
        <v>307</v>
      </c>
      <c r="D173" s="9">
        <v>86</v>
      </c>
      <c r="E173" s="9">
        <v>160</v>
      </c>
      <c r="F173" s="9">
        <v>1</v>
      </c>
      <c r="G173" s="9">
        <v>10</v>
      </c>
      <c r="H173" s="9">
        <v>268</v>
      </c>
      <c r="I173" s="11">
        <f>C173-H173</f>
        <v>39</v>
      </c>
    </row>
    <row r="174" spans="1:9" x14ac:dyDescent="0.35">
      <c r="A174" s="9">
        <v>172</v>
      </c>
      <c r="B174" s="10" t="s">
        <v>246</v>
      </c>
      <c r="C174" s="9">
        <v>201</v>
      </c>
      <c r="D174" s="9">
        <v>39</v>
      </c>
      <c r="E174" s="9">
        <v>77</v>
      </c>
      <c r="F174" s="9">
        <v>2</v>
      </c>
      <c r="G174" s="9">
        <v>0</v>
      </c>
      <c r="H174" s="9">
        <v>162</v>
      </c>
      <c r="I174" s="11">
        <f>C174-H174</f>
        <v>39</v>
      </c>
    </row>
    <row r="175" spans="1:9" x14ac:dyDescent="0.35">
      <c r="A175" s="9">
        <v>173</v>
      </c>
      <c r="B175" s="10" t="s">
        <v>38</v>
      </c>
      <c r="C175" s="9">
        <v>206</v>
      </c>
      <c r="D175" s="9">
        <v>27</v>
      </c>
      <c r="E175" s="9">
        <v>120</v>
      </c>
      <c r="F175" s="9">
        <v>19</v>
      </c>
      <c r="G175" s="9">
        <v>0</v>
      </c>
      <c r="H175" s="9">
        <v>168</v>
      </c>
      <c r="I175" s="11">
        <f>C175-H175</f>
        <v>38</v>
      </c>
    </row>
    <row r="176" spans="1:9" x14ac:dyDescent="0.35">
      <c r="A176" s="9">
        <v>174</v>
      </c>
      <c r="B176" s="10" t="s">
        <v>296</v>
      </c>
      <c r="C176" s="9">
        <v>504</v>
      </c>
      <c r="D176" s="9">
        <v>167</v>
      </c>
      <c r="E176" s="9">
        <v>280</v>
      </c>
      <c r="F176" s="9">
        <v>2</v>
      </c>
      <c r="G176" s="9">
        <v>0</v>
      </c>
      <c r="H176" s="9">
        <v>466</v>
      </c>
      <c r="I176" s="11">
        <f>C176-H176</f>
        <v>38</v>
      </c>
    </row>
    <row r="177" spans="1:9" x14ac:dyDescent="0.35">
      <c r="A177" s="9">
        <v>175</v>
      </c>
      <c r="B177" s="10" t="s">
        <v>295</v>
      </c>
      <c r="C177" s="9">
        <v>317</v>
      </c>
      <c r="D177" s="9">
        <v>75</v>
      </c>
      <c r="E177" s="9">
        <v>195</v>
      </c>
      <c r="F177" s="9">
        <v>0</v>
      </c>
      <c r="G177" s="9">
        <v>0</v>
      </c>
      <c r="H177" s="9">
        <v>279</v>
      </c>
      <c r="I177" s="11">
        <f>C177-H177</f>
        <v>38</v>
      </c>
    </row>
    <row r="178" spans="1:9" x14ac:dyDescent="0.35">
      <c r="A178" s="9">
        <v>176</v>
      </c>
      <c r="B178" s="10" t="s">
        <v>107</v>
      </c>
      <c r="C178" s="9">
        <v>165</v>
      </c>
      <c r="D178" s="9">
        <v>31</v>
      </c>
      <c r="E178" s="9">
        <v>92</v>
      </c>
      <c r="F178" s="9">
        <v>5</v>
      </c>
      <c r="G178" s="9">
        <v>0</v>
      </c>
      <c r="H178" s="9">
        <v>128</v>
      </c>
      <c r="I178" s="11">
        <f>C178-H178</f>
        <v>37</v>
      </c>
    </row>
    <row r="179" spans="1:9" x14ac:dyDescent="0.35">
      <c r="A179" s="9">
        <v>177</v>
      </c>
      <c r="B179" s="10" t="s">
        <v>90</v>
      </c>
      <c r="C179" s="9">
        <v>148</v>
      </c>
      <c r="D179" s="9">
        <v>76</v>
      </c>
      <c r="E179" s="9">
        <v>36</v>
      </c>
      <c r="F179" s="9">
        <v>0</v>
      </c>
      <c r="G179" s="9">
        <v>0</v>
      </c>
      <c r="H179" s="9">
        <v>112</v>
      </c>
      <c r="I179" s="11">
        <f>C179-H179</f>
        <v>36</v>
      </c>
    </row>
    <row r="180" spans="1:9" x14ac:dyDescent="0.35">
      <c r="A180" s="9">
        <v>178</v>
      </c>
      <c r="B180" s="10" t="s">
        <v>81</v>
      </c>
      <c r="C180" s="9">
        <v>210</v>
      </c>
      <c r="D180" s="9">
        <v>21</v>
      </c>
      <c r="E180" s="9">
        <v>136</v>
      </c>
      <c r="F180" s="9">
        <v>14</v>
      </c>
      <c r="G180" s="9">
        <v>1</v>
      </c>
      <c r="H180" s="9">
        <v>175</v>
      </c>
      <c r="I180" s="11">
        <f>C180-H180</f>
        <v>35</v>
      </c>
    </row>
    <row r="181" spans="1:9" x14ac:dyDescent="0.35">
      <c r="A181" s="9">
        <v>179</v>
      </c>
      <c r="B181" s="10" t="s">
        <v>94</v>
      </c>
      <c r="C181" s="9">
        <v>239</v>
      </c>
      <c r="D181" s="9">
        <v>71</v>
      </c>
      <c r="E181" s="9">
        <v>130</v>
      </c>
      <c r="F181" s="9">
        <v>2</v>
      </c>
      <c r="G181" s="9">
        <v>0</v>
      </c>
      <c r="H181" s="9">
        <v>204</v>
      </c>
      <c r="I181" s="11">
        <f>C181-H181</f>
        <v>35</v>
      </c>
    </row>
    <row r="182" spans="1:9" x14ac:dyDescent="0.35">
      <c r="A182" s="9">
        <v>180</v>
      </c>
      <c r="B182" s="10" t="s">
        <v>239</v>
      </c>
      <c r="C182" s="9">
        <v>107</v>
      </c>
      <c r="D182" s="9">
        <v>19</v>
      </c>
      <c r="E182" s="9">
        <v>53</v>
      </c>
      <c r="F182" s="9">
        <v>0</v>
      </c>
      <c r="G182" s="9">
        <v>0</v>
      </c>
      <c r="H182" s="9">
        <v>72</v>
      </c>
      <c r="I182" s="11">
        <f>C182-H182</f>
        <v>35</v>
      </c>
    </row>
    <row r="183" spans="1:9" x14ac:dyDescent="0.35">
      <c r="A183" s="9">
        <v>181</v>
      </c>
      <c r="B183" s="10" t="s">
        <v>161</v>
      </c>
      <c r="C183" s="9">
        <v>816</v>
      </c>
      <c r="D183" s="9">
        <v>523</v>
      </c>
      <c r="E183" s="9">
        <v>250</v>
      </c>
      <c r="F183" s="9">
        <v>2</v>
      </c>
      <c r="G183" s="9">
        <v>0</v>
      </c>
      <c r="H183" s="9">
        <v>782</v>
      </c>
      <c r="I183" s="11">
        <f>C183-H183</f>
        <v>34</v>
      </c>
    </row>
    <row r="184" spans="1:9" x14ac:dyDescent="0.35">
      <c r="A184" s="9">
        <v>182</v>
      </c>
      <c r="B184" s="10" t="s">
        <v>297</v>
      </c>
      <c r="C184" s="9">
        <v>135</v>
      </c>
      <c r="D184" s="9">
        <v>5</v>
      </c>
      <c r="E184" s="9">
        <v>80</v>
      </c>
      <c r="F184" s="9">
        <v>15</v>
      </c>
      <c r="G184" s="9">
        <v>0</v>
      </c>
      <c r="H184" s="9">
        <v>102</v>
      </c>
      <c r="I184" s="11">
        <f>C184-H184</f>
        <v>33</v>
      </c>
    </row>
    <row r="185" spans="1:9" x14ac:dyDescent="0.35">
      <c r="A185" s="9">
        <v>183</v>
      </c>
      <c r="B185" s="10" t="s">
        <v>71</v>
      </c>
      <c r="C185" s="9">
        <v>141</v>
      </c>
      <c r="D185" s="9">
        <v>48</v>
      </c>
      <c r="E185" s="9">
        <v>57</v>
      </c>
      <c r="F185" s="9">
        <v>1</v>
      </c>
      <c r="G185" s="9">
        <v>2</v>
      </c>
      <c r="H185" s="9">
        <v>109</v>
      </c>
      <c r="I185" s="11">
        <f>C185-H185</f>
        <v>32</v>
      </c>
    </row>
    <row r="186" spans="1:9" x14ac:dyDescent="0.35">
      <c r="A186" s="9">
        <v>184</v>
      </c>
      <c r="B186" s="10" t="s">
        <v>298</v>
      </c>
      <c r="C186" s="9">
        <v>197</v>
      </c>
      <c r="D186" s="9">
        <v>44</v>
      </c>
      <c r="E186" s="9">
        <v>93</v>
      </c>
      <c r="F186" s="9">
        <v>27</v>
      </c>
      <c r="G186" s="9">
        <v>0</v>
      </c>
      <c r="H186" s="9">
        <v>165</v>
      </c>
      <c r="I186" s="11">
        <f>C186-H186</f>
        <v>32</v>
      </c>
    </row>
    <row r="187" spans="1:9" x14ac:dyDescent="0.35">
      <c r="A187" s="9">
        <v>185</v>
      </c>
      <c r="B187" s="10" t="s">
        <v>214</v>
      </c>
      <c r="C187" s="9">
        <v>1758</v>
      </c>
      <c r="D187" s="9">
        <v>258</v>
      </c>
      <c r="E187" s="9">
        <v>1138</v>
      </c>
      <c r="F187" s="9">
        <v>34</v>
      </c>
      <c r="G187" s="9">
        <v>4</v>
      </c>
      <c r="H187" s="9">
        <v>1726</v>
      </c>
      <c r="I187" s="11">
        <f>C187-H187</f>
        <v>32</v>
      </c>
    </row>
    <row r="188" spans="1:9" x14ac:dyDescent="0.35">
      <c r="A188" s="9">
        <v>186</v>
      </c>
      <c r="B188" s="10" t="s">
        <v>27</v>
      </c>
      <c r="C188" s="9">
        <v>547</v>
      </c>
      <c r="D188" s="9">
        <v>138</v>
      </c>
      <c r="E188" s="9">
        <v>359</v>
      </c>
      <c r="F188" s="9">
        <v>16</v>
      </c>
      <c r="G188" s="9">
        <v>0</v>
      </c>
      <c r="H188" s="9">
        <v>516</v>
      </c>
      <c r="I188" s="11">
        <f>C188-H188</f>
        <v>31</v>
      </c>
    </row>
    <row r="189" spans="1:9" x14ac:dyDescent="0.35">
      <c r="A189" s="9">
        <v>187</v>
      </c>
      <c r="B189" s="10" t="s">
        <v>44</v>
      </c>
      <c r="C189" s="9">
        <v>372</v>
      </c>
      <c r="D189" s="9">
        <v>39</v>
      </c>
      <c r="E189" s="9">
        <v>280</v>
      </c>
      <c r="F189" s="9">
        <v>17</v>
      </c>
      <c r="G189" s="9">
        <v>4</v>
      </c>
      <c r="H189" s="9">
        <v>341</v>
      </c>
      <c r="I189" s="11">
        <f>C189-H189</f>
        <v>31</v>
      </c>
    </row>
    <row r="190" spans="1:9" x14ac:dyDescent="0.35">
      <c r="A190" s="9">
        <v>188</v>
      </c>
      <c r="B190" s="10" t="s">
        <v>233</v>
      </c>
      <c r="C190" s="9">
        <v>239</v>
      </c>
      <c r="D190" s="9">
        <v>30</v>
      </c>
      <c r="E190" s="9">
        <v>178</v>
      </c>
      <c r="F190" s="9">
        <v>0</v>
      </c>
      <c r="G190" s="9">
        <v>0</v>
      </c>
      <c r="H190" s="9">
        <v>208</v>
      </c>
      <c r="I190" s="11">
        <f>C190-H190</f>
        <v>31</v>
      </c>
    </row>
    <row r="191" spans="1:9" x14ac:dyDescent="0.35">
      <c r="A191" s="9">
        <v>189</v>
      </c>
      <c r="B191" s="10" t="s">
        <v>97</v>
      </c>
      <c r="C191" s="9">
        <v>363</v>
      </c>
      <c r="D191" s="9">
        <v>76</v>
      </c>
      <c r="E191" s="9">
        <v>232</v>
      </c>
      <c r="F191" s="9">
        <v>8</v>
      </c>
      <c r="G191" s="9">
        <v>0</v>
      </c>
      <c r="H191" s="9">
        <v>333</v>
      </c>
      <c r="I191" s="11">
        <f>C191-H191</f>
        <v>30</v>
      </c>
    </row>
    <row r="192" spans="1:9" x14ac:dyDescent="0.35">
      <c r="A192" s="9">
        <v>190</v>
      </c>
      <c r="B192" s="10" t="s">
        <v>199</v>
      </c>
      <c r="C192" s="9">
        <v>323</v>
      </c>
      <c r="D192" s="9">
        <v>63</v>
      </c>
      <c r="E192" s="9">
        <v>129</v>
      </c>
      <c r="F192" s="9">
        <v>78</v>
      </c>
      <c r="G192" s="9">
        <v>21</v>
      </c>
      <c r="H192" s="9">
        <v>294</v>
      </c>
      <c r="I192" s="11">
        <f>C192-H192</f>
        <v>29</v>
      </c>
    </row>
    <row r="193" spans="1:9" x14ac:dyDescent="0.35">
      <c r="A193" s="9">
        <v>191</v>
      </c>
      <c r="B193" s="10" t="s">
        <v>201</v>
      </c>
      <c r="C193" s="9">
        <v>154</v>
      </c>
      <c r="D193" s="9">
        <v>78</v>
      </c>
      <c r="E193" s="9">
        <v>38</v>
      </c>
      <c r="F193" s="9">
        <v>0</v>
      </c>
      <c r="G193" s="9">
        <v>0</v>
      </c>
      <c r="H193" s="9">
        <v>125</v>
      </c>
      <c r="I193" s="11">
        <f>C193-H193</f>
        <v>29</v>
      </c>
    </row>
    <row r="194" spans="1:9" x14ac:dyDescent="0.35">
      <c r="A194" s="9">
        <v>192</v>
      </c>
      <c r="B194" s="10" t="s">
        <v>144</v>
      </c>
      <c r="C194" s="9">
        <v>399</v>
      </c>
      <c r="D194" s="9">
        <v>78</v>
      </c>
      <c r="E194" s="9">
        <v>293</v>
      </c>
      <c r="F194" s="9">
        <v>0</v>
      </c>
      <c r="G194" s="9">
        <v>0</v>
      </c>
      <c r="H194" s="9">
        <v>371</v>
      </c>
      <c r="I194" s="11">
        <f>C194-H194</f>
        <v>28</v>
      </c>
    </row>
    <row r="195" spans="1:9" x14ac:dyDescent="0.35">
      <c r="A195" s="9">
        <v>193</v>
      </c>
      <c r="B195" s="10" t="s">
        <v>43</v>
      </c>
      <c r="C195" s="9">
        <v>212</v>
      </c>
      <c r="D195" s="9">
        <v>65</v>
      </c>
      <c r="E195" s="9">
        <v>118</v>
      </c>
      <c r="F195" s="9">
        <v>1</v>
      </c>
      <c r="G195" s="9">
        <v>0</v>
      </c>
      <c r="H195" s="9">
        <v>185</v>
      </c>
      <c r="I195" s="11">
        <f>C195-H195</f>
        <v>27</v>
      </c>
    </row>
    <row r="196" spans="1:9" x14ac:dyDescent="0.35">
      <c r="A196" s="9">
        <v>194</v>
      </c>
      <c r="B196" s="10" t="s">
        <v>299</v>
      </c>
      <c r="C196" s="9">
        <v>203</v>
      </c>
      <c r="D196" s="9">
        <v>27</v>
      </c>
      <c r="E196" s="9">
        <v>144</v>
      </c>
      <c r="F196" s="9">
        <v>2</v>
      </c>
      <c r="G196" s="9">
        <v>0</v>
      </c>
      <c r="H196" s="9">
        <v>177</v>
      </c>
      <c r="I196" s="11">
        <f>C196-H196</f>
        <v>26</v>
      </c>
    </row>
    <row r="197" spans="1:9" x14ac:dyDescent="0.35">
      <c r="A197" s="9">
        <v>195</v>
      </c>
      <c r="B197" s="10" t="s">
        <v>300</v>
      </c>
      <c r="C197" s="9">
        <v>202</v>
      </c>
      <c r="D197" s="9">
        <v>132</v>
      </c>
      <c r="E197" s="9">
        <v>28</v>
      </c>
      <c r="F197" s="9">
        <v>5</v>
      </c>
      <c r="G197" s="9">
        <v>0</v>
      </c>
      <c r="H197" s="9">
        <v>177</v>
      </c>
      <c r="I197" s="11">
        <f>C197-H197</f>
        <v>25</v>
      </c>
    </row>
    <row r="198" spans="1:9" x14ac:dyDescent="0.35">
      <c r="A198" s="9">
        <v>196</v>
      </c>
      <c r="B198" s="10" t="s">
        <v>82</v>
      </c>
      <c r="C198" s="9">
        <v>170</v>
      </c>
      <c r="D198" s="9">
        <v>4</v>
      </c>
      <c r="E198" s="9">
        <v>138</v>
      </c>
      <c r="F198" s="9">
        <v>3</v>
      </c>
      <c r="G198" s="9">
        <v>0</v>
      </c>
      <c r="H198" s="9">
        <v>145</v>
      </c>
      <c r="I198" s="11">
        <f>C198-H198</f>
        <v>25</v>
      </c>
    </row>
    <row r="199" spans="1:9" x14ac:dyDescent="0.35">
      <c r="A199" s="9">
        <v>197</v>
      </c>
      <c r="B199" s="10" t="s">
        <v>13</v>
      </c>
      <c r="C199" s="9">
        <v>161</v>
      </c>
      <c r="D199" s="9">
        <v>20</v>
      </c>
      <c r="E199" s="9">
        <v>116</v>
      </c>
      <c r="F199" s="9">
        <v>2</v>
      </c>
      <c r="G199" s="9">
        <v>0</v>
      </c>
      <c r="H199" s="9">
        <v>138</v>
      </c>
      <c r="I199" s="11">
        <f>C199-H199</f>
        <v>23</v>
      </c>
    </row>
    <row r="200" spans="1:9" x14ac:dyDescent="0.35">
      <c r="A200" s="9">
        <v>198</v>
      </c>
      <c r="B200" s="10" t="s">
        <v>68</v>
      </c>
      <c r="C200" s="9">
        <v>168</v>
      </c>
      <c r="D200" s="9">
        <v>101</v>
      </c>
      <c r="E200" s="9">
        <v>33</v>
      </c>
      <c r="F200" s="9">
        <v>0</v>
      </c>
      <c r="G200" s="9">
        <v>0</v>
      </c>
      <c r="H200" s="9">
        <v>145</v>
      </c>
      <c r="I200" s="11">
        <f>C200-H200</f>
        <v>23</v>
      </c>
    </row>
    <row r="201" spans="1:9" x14ac:dyDescent="0.35">
      <c r="A201" s="9">
        <v>199</v>
      </c>
      <c r="B201" s="10" t="s">
        <v>62</v>
      </c>
      <c r="C201" s="9">
        <v>458</v>
      </c>
      <c r="D201" s="9">
        <v>126</v>
      </c>
      <c r="E201" s="9">
        <v>295</v>
      </c>
      <c r="F201" s="9">
        <v>12</v>
      </c>
      <c r="G201" s="9">
        <v>1</v>
      </c>
      <c r="H201" s="9">
        <v>436</v>
      </c>
      <c r="I201" s="11">
        <f>C201-H201</f>
        <v>22</v>
      </c>
    </row>
    <row r="202" spans="1:9" x14ac:dyDescent="0.35">
      <c r="A202" s="9">
        <v>200</v>
      </c>
      <c r="B202" s="10" t="s">
        <v>158</v>
      </c>
      <c r="C202" s="9">
        <v>415</v>
      </c>
      <c r="D202" s="9">
        <v>19</v>
      </c>
      <c r="E202" s="9">
        <v>354</v>
      </c>
      <c r="F202" s="9">
        <v>17</v>
      </c>
      <c r="G202" s="9">
        <v>0</v>
      </c>
      <c r="H202" s="9">
        <v>393</v>
      </c>
      <c r="I202" s="11">
        <f>C202-H202</f>
        <v>22</v>
      </c>
    </row>
    <row r="203" spans="1:9" x14ac:dyDescent="0.35">
      <c r="A203" s="9">
        <v>201</v>
      </c>
      <c r="B203" s="10" t="s">
        <v>195</v>
      </c>
      <c r="C203" s="9">
        <v>376</v>
      </c>
      <c r="D203" s="9">
        <v>15</v>
      </c>
      <c r="E203" s="9">
        <v>322</v>
      </c>
      <c r="F203" s="9">
        <v>14</v>
      </c>
      <c r="G203" s="9">
        <v>0</v>
      </c>
      <c r="H203" s="9">
        <v>354</v>
      </c>
      <c r="I203" s="11">
        <f>C203-H203</f>
        <v>22</v>
      </c>
    </row>
    <row r="204" spans="1:9" x14ac:dyDescent="0.35">
      <c r="A204" s="9">
        <v>202</v>
      </c>
      <c r="B204" s="10" t="s">
        <v>35</v>
      </c>
      <c r="C204" s="9">
        <v>230</v>
      </c>
      <c r="D204" s="9">
        <v>22</v>
      </c>
      <c r="E204" s="9">
        <v>169</v>
      </c>
      <c r="F204" s="9">
        <v>10</v>
      </c>
      <c r="G204" s="9">
        <v>8</v>
      </c>
      <c r="H204" s="9">
        <v>210</v>
      </c>
      <c r="I204" s="11">
        <f>C204-H204</f>
        <v>20</v>
      </c>
    </row>
    <row r="205" spans="1:9" x14ac:dyDescent="0.35">
      <c r="A205" s="9">
        <v>203</v>
      </c>
      <c r="B205" s="10" t="s">
        <v>64</v>
      </c>
      <c r="C205" s="9">
        <v>403</v>
      </c>
      <c r="D205" s="9">
        <v>68</v>
      </c>
      <c r="E205" s="9">
        <v>312</v>
      </c>
      <c r="F205" s="9">
        <v>3</v>
      </c>
      <c r="G205" s="9">
        <v>0</v>
      </c>
      <c r="H205" s="9">
        <v>384</v>
      </c>
      <c r="I205" s="11">
        <f>C205-H205</f>
        <v>19</v>
      </c>
    </row>
    <row r="206" spans="1:9" x14ac:dyDescent="0.35">
      <c r="A206" s="9">
        <v>204</v>
      </c>
      <c r="B206" s="10" t="s">
        <v>80</v>
      </c>
      <c r="C206" s="9">
        <v>228</v>
      </c>
      <c r="D206" s="9">
        <v>16</v>
      </c>
      <c r="E206" s="9">
        <v>184</v>
      </c>
      <c r="F206" s="9">
        <v>7</v>
      </c>
      <c r="G206" s="9">
        <v>0</v>
      </c>
      <c r="H206" s="9">
        <v>209</v>
      </c>
      <c r="I206" s="11">
        <f>C206-H206</f>
        <v>19</v>
      </c>
    </row>
    <row r="207" spans="1:9" x14ac:dyDescent="0.35">
      <c r="A207" s="9">
        <v>205</v>
      </c>
      <c r="B207" s="10" t="s">
        <v>301</v>
      </c>
      <c r="C207" s="9">
        <v>200</v>
      </c>
      <c r="D207" s="9">
        <v>23</v>
      </c>
      <c r="E207" s="9">
        <v>145</v>
      </c>
      <c r="F207" s="9">
        <v>13</v>
      </c>
      <c r="G207" s="9">
        <v>0</v>
      </c>
      <c r="H207" s="9">
        <v>181</v>
      </c>
      <c r="I207" s="11">
        <f>C207-H207</f>
        <v>19</v>
      </c>
    </row>
    <row r="208" spans="1:9" x14ac:dyDescent="0.35">
      <c r="A208" s="9">
        <v>206</v>
      </c>
      <c r="B208" s="10" t="s">
        <v>170</v>
      </c>
      <c r="C208" s="9">
        <v>515</v>
      </c>
      <c r="D208" s="9">
        <v>178</v>
      </c>
      <c r="E208" s="9">
        <v>288</v>
      </c>
      <c r="F208" s="9">
        <v>23</v>
      </c>
      <c r="G208" s="9">
        <v>0</v>
      </c>
      <c r="H208" s="9">
        <v>496</v>
      </c>
      <c r="I208" s="11">
        <f>C208-H208</f>
        <v>19</v>
      </c>
    </row>
    <row r="209" spans="1:9" x14ac:dyDescent="0.35">
      <c r="A209" s="9">
        <v>207</v>
      </c>
      <c r="B209" s="10" t="s">
        <v>171</v>
      </c>
      <c r="C209" s="9">
        <v>107</v>
      </c>
      <c r="D209" s="9">
        <v>20</v>
      </c>
      <c r="E209" s="9">
        <v>65</v>
      </c>
      <c r="F209" s="9">
        <v>2</v>
      </c>
      <c r="G209" s="9">
        <v>0</v>
      </c>
      <c r="H209" s="9">
        <v>88</v>
      </c>
      <c r="I209" s="11">
        <f>C209-H209</f>
        <v>19</v>
      </c>
    </row>
    <row r="210" spans="1:9" x14ac:dyDescent="0.35">
      <c r="A210" s="9">
        <v>208</v>
      </c>
      <c r="B210" s="10" t="s">
        <v>179</v>
      </c>
      <c r="C210" s="9">
        <v>200</v>
      </c>
      <c r="D210" s="9">
        <v>58</v>
      </c>
      <c r="E210" s="9">
        <v>96</v>
      </c>
      <c r="F210" s="9">
        <v>24</v>
      </c>
      <c r="G210" s="9">
        <v>0</v>
      </c>
      <c r="H210" s="9">
        <v>181</v>
      </c>
      <c r="I210" s="11">
        <f>C210-H210</f>
        <v>19</v>
      </c>
    </row>
    <row r="211" spans="1:9" x14ac:dyDescent="0.35">
      <c r="A211" s="9">
        <v>209</v>
      </c>
      <c r="B211" s="10" t="s">
        <v>184</v>
      </c>
      <c r="C211" s="9">
        <v>717</v>
      </c>
      <c r="D211" s="9">
        <v>65</v>
      </c>
      <c r="E211" s="9">
        <v>398</v>
      </c>
      <c r="F211" s="9">
        <v>233</v>
      </c>
      <c r="G211" s="9">
        <v>0</v>
      </c>
      <c r="H211" s="9">
        <v>698</v>
      </c>
      <c r="I211" s="11">
        <f>C211-H211</f>
        <v>19</v>
      </c>
    </row>
    <row r="212" spans="1:9" x14ac:dyDescent="0.35">
      <c r="A212" s="9">
        <v>210</v>
      </c>
      <c r="B212" s="10" t="s">
        <v>86</v>
      </c>
      <c r="C212" s="9">
        <v>74</v>
      </c>
      <c r="D212" s="9">
        <v>34</v>
      </c>
      <c r="E212" s="9">
        <v>14</v>
      </c>
      <c r="F212" s="9">
        <v>4</v>
      </c>
      <c r="G212" s="9">
        <v>1</v>
      </c>
      <c r="H212" s="9">
        <v>56</v>
      </c>
      <c r="I212" s="11">
        <f>C212-H212</f>
        <v>18</v>
      </c>
    </row>
    <row r="213" spans="1:9" x14ac:dyDescent="0.35">
      <c r="A213" s="9">
        <v>211</v>
      </c>
      <c r="B213" s="10" t="s">
        <v>89</v>
      </c>
      <c r="C213" s="9">
        <v>228</v>
      </c>
      <c r="D213" s="9">
        <v>81</v>
      </c>
      <c r="E213" s="9">
        <v>110</v>
      </c>
      <c r="F213" s="9">
        <v>21</v>
      </c>
      <c r="G213" s="9">
        <v>0</v>
      </c>
      <c r="H213" s="9">
        <v>212</v>
      </c>
      <c r="I213" s="11">
        <f>C213-H213</f>
        <v>16</v>
      </c>
    </row>
    <row r="214" spans="1:9" x14ac:dyDescent="0.35">
      <c r="A214" s="9">
        <v>212</v>
      </c>
      <c r="B214" s="10" t="s">
        <v>154</v>
      </c>
      <c r="C214" s="9">
        <v>170</v>
      </c>
      <c r="D214" s="9">
        <v>54</v>
      </c>
      <c r="E214" s="9">
        <v>81</v>
      </c>
      <c r="F214" s="9">
        <v>14</v>
      </c>
      <c r="G214" s="9">
        <v>0</v>
      </c>
      <c r="H214" s="9">
        <v>154</v>
      </c>
      <c r="I214" s="11">
        <f>C214-H214</f>
        <v>16</v>
      </c>
    </row>
    <row r="215" spans="1:9" x14ac:dyDescent="0.35">
      <c r="A215" s="9">
        <v>213</v>
      </c>
      <c r="B215" s="10" t="s">
        <v>33</v>
      </c>
      <c r="C215" s="9">
        <v>167</v>
      </c>
      <c r="D215" s="9">
        <v>30</v>
      </c>
      <c r="E215" s="9">
        <v>95</v>
      </c>
      <c r="F215" s="9">
        <v>21</v>
      </c>
      <c r="G215" s="9">
        <v>0</v>
      </c>
      <c r="H215" s="9">
        <v>153</v>
      </c>
      <c r="I215" s="11">
        <f>C215-H215</f>
        <v>14</v>
      </c>
    </row>
    <row r="216" spans="1:9" x14ac:dyDescent="0.35">
      <c r="A216" s="9">
        <v>214</v>
      </c>
      <c r="B216" s="10" t="s">
        <v>87</v>
      </c>
      <c r="C216" s="9">
        <v>664</v>
      </c>
      <c r="D216" s="9">
        <v>229</v>
      </c>
      <c r="E216" s="9">
        <v>370</v>
      </c>
      <c r="F216" s="9">
        <v>51</v>
      </c>
      <c r="G216" s="9">
        <v>0</v>
      </c>
      <c r="H216" s="9">
        <v>650</v>
      </c>
      <c r="I216" s="11">
        <f>C216-H216</f>
        <v>14</v>
      </c>
    </row>
    <row r="217" spans="1:9" x14ac:dyDescent="0.35">
      <c r="A217" s="9">
        <v>215</v>
      </c>
      <c r="B217" s="10" t="s">
        <v>121</v>
      </c>
      <c r="C217" s="9">
        <v>352</v>
      </c>
      <c r="D217" s="9">
        <v>32</v>
      </c>
      <c r="E217" s="9">
        <v>262</v>
      </c>
      <c r="F217" s="9">
        <v>43</v>
      </c>
      <c r="G217" s="9">
        <v>0</v>
      </c>
      <c r="H217" s="9">
        <v>338</v>
      </c>
      <c r="I217" s="11">
        <f>C217-H217</f>
        <v>14</v>
      </c>
    </row>
    <row r="218" spans="1:9" x14ac:dyDescent="0.35">
      <c r="A218" s="9">
        <v>216</v>
      </c>
      <c r="B218" s="10" t="s">
        <v>242</v>
      </c>
      <c r="C218" s="9">
        <v>262</v>
      </c>
      <c r="D218" s="9">
        <v>215</v>
      </c>
      <c r="E218" s="9">
        <v>7</v>
      </c>
      <c r="F218" s="9">
        <v>0</v>
      </c>
      <c r="G218" s="9">
        <v>0</v>
      </c>
      <c r="H218" s="9">
        <v>248</v>
      </c>
      <c r="I218" s="11">
        <f>C218-H218</f>
        <v>14</v>
      </c>
    </row>
    <row r="219" spans="1:9" x14ac:dyDescent="0.35">
      <c r="A219" s="9">
        <v>217</v>
      </c>
      <c r="B219" s="10" t="s">
        <v>73</v>
      </c>
      <c r="C219" s="9">
        <v>125</v>
      </c>
      <c r="D219" s="9">
        <v>9</v>
      </c>
      <c r="E219" s="9">
        <v>102</v>
      </c>
      <c r="F219" s="9">
        <v>1</v>
      </c>
      <c r="G219" s="9">
        <v>0</v>
      </c>
      <c r="H219" s="9">
        <v>112</v>
      </c>
      <c r="I219" s="11">
        <f>C219-H219</f>
        <v>13</v>
      </c>
    </row>
    <row r="220" spans="1:9" x14ac:dyDescent="0.35">
      <c r="A220" s="9">
        <v>218</v>
      </c>
      <c r="B220" s="10" t="s">
        <v>228</v>
      </c>
      <c r="C220" s="9">
        <v>100</v>
      </c>
      <c r="D220" s="9">
        <v>17</v>
      </c>
      <c r="E220" s="9">
        <v>60</v>
      </c>
      <c r="F220" s="9">
        <v>8</v>
      </c>
      <c r="G220" s="9">
        <v>1</v>
      </c>
      <c r="H220" s="9">
        <v>87</v>
      </c>
      <c r="I220" s="11">
        <f>C220-H220</f>
        <v>13</v>
      </c>
    </row>
    <row r="221" spans="1:9" x14ac:dyDescent="0.35">
      <c r="A221" s="9">
        <v>219</v>
      </c>
      <c r="B221" s="10" t="s">
        <v>240</v>
      </c>
      <c r="C221" s="9">
        <v>294</v>
      </c>
      <c r="D221" s="9">
        <v>27</v>
      </c>
      <c r="E221" s="9">
        <v>220</v>
      </c>
      <c r="F221" s="9">
        <v>10</v>
      </c>
      <c r="G221" s="9">
        <v>0</v>
      </c>
      <c r="H221" s="9">
        <v>281</v>
      </c>
      <c r="I221" s="11">
        <f>C221-H221</f>
        <v>13</v>
      </c>
    </row>
    <row r="222" spans="1:9" x14ac:dyDescent="0.35">
      <c r="A222" s="9">
        <v>220</v>
      </c>
      <c r="B222" s="10" t="s">
        <v>46</v>
      </c>
      <c r="C222" s="9">
        <v>316</v>
      </c>
      <c r="D222" s="9">
        <v>75</v>
      </c>
      <c r="E222" s="9">
        <v>189</v>
      </c>
      <c r="F222" s="9">
        <v>0</v>
      </c>
      <c r="G222" s="9">
        <v>0</v>
      </c>
      <c r="H222" s="9">
        <v>304</v>
      </c>
      <c r="I222" s="11">
        <f>C222-H222</f>
        <v>12</v>
      </c>
    </row>
    <row r="223" spans="1:9" x14ac:dyDescent="0.35">
      <c r="A223" s="9">
        <v>221</v>
      </c>
      <c r="B223" s="10" t="s">
        <v>116</v>
      </c>
      <c r="C223" s="9">
        <v>161</v>
      </c>
      <c r="D223" s="9">
        <v>15</v>
      </c>
      <c r="E223" s="9">
        <v>111</v>
      </c>
      <c r="F223" s="9">
        <v>23</v>
      </c>
      <c r="G223" s="9">
        <v>0</v>
      </c>
      <c r="H223" s="9">
        <v>149</v>
      </c>
      <c r="I223" s="11">
        <f>C223-H223</f>
        <v>12</v>
      </c>
    </row>
    <row r="224" spans="1:9" x14ac:dyDescent="0.35">
      <c r="A224" s="9">
        <v>222</v>
      </c>
      <c r="B224" s="10" t="s">
        <v>156</v>
      </c>
      <c r="C224" s="9">
        <v>82</v>
      </c>
      <c r="D224" s="9">
        <v>27</v>
      </c>
      <c r="E224" s="9">
        <v>40</v>
      </c>
      <c r="F224" s="9">
        <v>2</v>
      </c>
      <c r="G224" s="9">
        <v>0</v>
      </c>
      <c r="H224" s="9">
        <v>70</v>
      </c>
      <c r="I224" s="11">
        <f>C224-H224</f>
        <v>12</v>
      </c>
    </row>
    <row r="225" spans="1:9" x14ac:dyDescent="0.35">
      <c r="A225" s="9">
        <v>223</v>
      </c>
      <c r="B225" s="10" t="s">
        <v>5</v>
      </c>
      <c r="C225" s="9">
        <v>249</v>
      </c>
      <c r="D225" s="9">
        <v>12</v>
      </c>
      <c r="E225" s="9">
        <v>212</v>
      </c>
      <c r="F225" s="9">
        <v>1</v>
      </c>
      <c r="G225" s="9">
        <v>1</v>
      </c>
      <c r="H225" s="9">
        <v>239</v>
      </c>
      <c r="I225" s="11">
        <f>C225-H225</f>
        <v>10</v>
      </c>
    </row>
    <row r="226" spans="1:9" x14ac:dyDescent="0.35">
      <c r="A226" s="9">
        <v>224</v>
      </c>
      <c r="B226" s="10" t="s">
        <v>67</v>
      </c>
      <c r="C226" s="9">
        <v>212</v>
      </c>
      <c r="D226" s="9">
        <v>141</v>
      </c>
      <c r="E226" s="9">
        <v>56</v>
      </c>
      <c r="F226" s="9">
        <v>2</v>
      </c>
      <c r="G226" s="9">
        <v>0</v>
      </c>
      <c r="H226" s="9">
        <v>202</v>
      </c>
      <c r="I226" s="11">
        <f>C226-H226</f>
        <v>10</v>
      </c>
    </row>
    <row r="227" spans="1:9" x14ac:dyDescent="0.35">
      <c r="A227" s="9">
        <v>225</v>
      </c>
      <c r="B227" s="10" t="s">
        <v>302</v>
      </c>
      <c r="C227" s="9">
        <v>377</v>
      </c>
      <c r="D227" s="9">
        <v>59</v>
      </c>
      <c r="E227" s="9">
        <v>308</v>
      </c>
      <c r="F227" s="9">
        <v>0</v>
      </c>
      <c r="G227" s="9">
        <v>0</v>
      </c>
      <c r="H227" s="9">
        <v>367</v>
      </c>
      <c r="I227" s="11">
        <f>C227-H227</f>
        <v>10</v>
      </c>
    </row>
    <row r="228" spans="1:9" x14ac:dyDescent="0.35">
      <c r="A228" s="9">
        <v>226</v>
      </c>
      <c r="B228" s="10" t="s">
        <v>92</v>
      </c>
      <c r="C228" s="9">
        <v>320</v>
      </c>
      <c r="D228" s="9">
        <v>12</v>
      </c>
      <c r="E228" s="9">
        <v>296</v>
      </c>
      <c r="F228" s="9">
        <v>1</v>
      </c>
      <c r="G228" s="9">
        <v>0</v>
      </c>
      <c r="H228" s="9">
        <v>310</v>
      </c>
      <c r="I228" s="11">
        <f>C228-H228</f>
        <v>10</v>
      </c>
    </row>
    <row r="229" spans="1:9" x14ac:dyDescent="0.35">
      <c r="A229" s="9">
        <v>227</v>
      </c>
      <c r="B229" s="10" t="s">
        <v>145</v>
      </c>
      <c r="C229" s="9">
        <v>99</v>
      </c>
      <c r="D229" s="9">
        <v>4</v>
      </c>
      <c r="E229" s="9">
        <v>56</v>
      </c>
      <c r="F229" s="9">
        <v>29</v>
      </c>
      <c r="G229" s="9">
        <v>0</v>
      </c>
      <c r="H229" s="9">
        <v>89</v>
      </c>
      <c r="I229" s="11">
        <f>C229-H229</f>
        <v>10</v>
      </c>
    </row>
    <row r="230" spans="1:9" x14ac:dyDescent="0.35">
      <c r="A230" s="9">
        <v>228</v>
      </c>
      <c r="B230" s="10" t="s">
        <v>41</v>
      </c>
      <c r="C230" s="9">
        <v>246</v>
      </c>
      <c r="D230" s="9">
        <v>8</v>
      </c>
      <c r="E230" s="9">
        <v>218</v>
      </c>
      <c r="F230" s="9">
        <v>11</v>
      </c>
      <c r="G230" s="9">
        <v>0</v>
      </c>
      <c r="H230" s="9">
        <v>237</v>
      </c>
      <c r="I230" s="11">
        <f>C230-H230</f>
        <v>9</v>
      </c>
    </row>
    <row r="231" spans="1:9" x14ac:dyDescent="0.35">
      <c r="A231" s="9">
        <v>229</v>
      </c>
      <c r="B231" s="10" t="s">
        <v>303</v>
      </c>
      <c r="C231" s="9">
        <v>301</v>
      </c>
      <c r="D231" s="9">
        <v>64</v>
      </c>
      <c r="E231" s="9">
        <v>197</v>
      </c>
      <c r="F231" s="9">
        <v>12</v>
      </c>
      <c r="G231" s="9">
        <v>16</v>
      </c>
      <c r="H231" s="9">
        <v>292</v>
      </c>
      <c r="I231" s="11">
        <f>C231-H231</f>
        <v>9</v>
      </c>
    </row>
    <row r="232" spans="1:9" x14ac:dyDescent="0.35">
      <c r="A232" s="9">
        <v>230</v>
      </c>
      <c r="B232" s="10" t="s">
        <v>241</v>
      </c>
      <c r="C232" s="9">
        <v>187</v>
      </c>
      <c r="D232" s="9">
        <v>106</v>
      </c>
      <c r="E232" s="9">
        <v>69</v>
      </c>
      <c r="F232" s="9">
        <v>0</v>
      </c>
      <c r="G232" s="9">
        <v>0</v>
      </c>
      <c r="H232" s="9">
        <v>178</v>
      </c>
      <c r="I232" s="11">
        <f>C232-H232</f>
        <v>9</v>
      </c>
    </row>
    <row r="233" spans="1:9" x14ac:dyDescent="0.35">
      <c r="A233" s="9">
        <v>231</v>
      </c>
      <c r="B233" s="10" t="s">
        <v>10</v>
      </c>
      <c r="C233" s="9">
        <v>221</v>
      </c>
      <c r="D233" s="9">
        <v>20</v>
      </c>
      <c r="E233" s="9">
        <v>141</v>
      </c>
      <c r="F233" s="9">
        <v>51</v>
      </c>
      <c r="G233" s="9">
        <v>0</v>
      </c>
      <c r="H233" s="9">
        <v>213</v>
      </c>
      <c r="I233" s="11">
        <f>C233-H233</f>
        <v>8</v>
      </c>
    </row>
    <row r="234" spans="1:9" x14ac:dyDescent="0.35">
      <c r="A234" s="9">
        <v>232</v>
      </c>
      <c r="B234" s="10" t="s">
        <v>34</v>
      </c>
      <c r="C234" s="9">
        <v>161</v>
      </c>
      <c r="D234" s="9">
        <v>24</v>
      </c>
      <c r="E234" s="9">
        <v>123</v>
      </c>
      <c r="F234" s="9">
        <v>5</v>
      </c>
      <c r="G234" s="9">
        <v>1</v>
      </c>
      <c r="H234" s="9">
        <v>153</v>
      </c>
      <c r="I234" s="11">
        <f>C234-H234</f>
        <v>8</v>
      </c>
    </row>
    <row r="235" spans="1:9" x14ac:dyDescent="0.35">
      <c r="A235" s="9">
        <v>233</v>
      </c>
      <c r="B235" s="10" t="s">
        <v>194</v>
      </c>
      <c r="C235" s="9">
        <v>120</v>
      </c>
      <c r="D235" s="9">
        <v>22</v>
      </c>
      <c r="E235" s="9">
        <v>63</v>
      </c>
      <c r="F235" s="9">
        <v>25</v>
      </c>
      <c r="G235" s="9">
        <v>0</v>
      </c>
      <c r="H235" s="9">
        <v>112</v>
      </c>
      <c r="I235" s="11">
        <f>C235-H235</f>
        <v>8</v>
      </c>
    </row>
    <row r="236" spans="1:9" x14ac:dyDescent="0.35">
      <c r="A236" s="9">
        <v>234</v>
      </c>
      <c r="B236" s="10" t="s">
        <v>148</v>
      </c>
      <c r="C236" s="9">
        <v>750</v>
      </c>
      <c r="D236" s="9">
        <v>690</v>
      </c>
      <c r="E236" s="9">
        <v>43</v>
      </c>
      <c r="F236" s="9">
        <v>9</v>
      </c>
      <c r="G236" s="9">
        <v>0</v>
      </c>
      <c r="H236" s="9">
        <v>743</v>
      </c>
      <c r="I236" s="11">
        <f>C236-H236</f>
        <v>7</v>
      </c>
    </row>
    <row r="237" spans="1:9" x14ac:dyDescent="0.35">
      <c r="A237" s="9">
        <v>235</v>
      </c>
      <c r="B237" s="10" t="s">
        <v>3</v>
      </c>
      <c r="C237" s="9">
        <v>109</v>
      </c>
      <c r="D237" s="9">
        <v>21</v>
      </c>
      <c r="E237" s="9">
        <v>73</v>
      </c>
      <c r="F237" s="9">
        <v>8</v>
      </c>
      <c r="G237" s="9">
        <v>1</v>
      </c>
      <c r="H237" s="9">
        <v>104</v>
      </c>
      <c r="I237" s="11">
        <f>C237-H237</f>
        <v>5</v>
      </c>
    </row>
    <row r="238" spans="1:9" x14ac:dyDescent="0.35">
      <c r="A238" s="9">
        <v>236</v>
      </c>
      <c r="B238" s="10" t="s">
        <v>19</v>
      </c>
      <c r="C238" s="9">
        <v>395</v>
      </c>
      <c r="D238" s="9">
        <v>33</v>
      </c>
      <c r="E238" s="9">
        <v>355</v>
      </c>
      <c r="F238" s="9">
        <v>1</v>
      </c>
      <c r="G238" s="9">
        <v>0</v>
      </c>
      <c r="H238" s="9">
        <v>391</v>
      </c>
      <c r="I238" s="11">
        <f>C238-H238</f>
        <v>4</v>
      </c>
    </row>
    <row r="239" spans="1:9" x14ac:dyDescent="0.35">
      <c r="A239" s="9">
        <v>237</v>
      </c>
      <c r="B239" s="10" t="s">
        <v>40</v>
      </c>
      <c r="C239" s="9">
        <v>94</v>
      </c>
      <c r="D239" s="9">
        <v>17</v>
      </c>
      <c r="E239" s="9">
        <v>51</v>
      </c>
      <c r="F239" s="9">
        <v>16</v>
      </c>
      <c r="G239" s="9">
        <v>5</v>
      </c>
      <c r="H239" s="9">
        <v>90</v>
      </c>
      <c r="I239" s="11">
        <f>C239-H239</f>
        <v>4</v>
      </c>
    </row>
    <row r="240" spans="1:9" x14ac:dyDescent="0.35">
      <c r="A240" s="9">
        <v>238</v>
      </c>
      <c r="B240" s="10" t="s">
        <v>142</v>
      </c>
      <c r="C240" s="9">
        <v>46</v>
      </c>
      <c r="D240" s="9">
        <v>9</v>
      </c>
      <c r="E240" s="9">
        <v>33</v>
      </c>
      <c r="F240" s="9">
        <v>0</v>
      </c>
      <c r="G240" s="9">
        <v>0</v>
      </c>
      <c r="H240" s="9">
        <v>42</v>
      </c>
      <c r="I240" s="11">
        <f>C240-H240</f>
        <v>4</v>
      </c>
    </row>
    <row r="241" spans="1:9" x14ac:dyDescent="0.35">
      <c r="A241" s="9">
        <v>239</v>
      </c>
      <c r="B241" s="10" t="s">
        <v>165</v>
      </c>
      <c r="C241" s="9">
        <v>63</v>
      </c>
      <c r="D241" s="9">
        <v>18</v>
      </c>
      <c r="E241" s="9">
        <v>23</v>
      </c>
      <c r="F241" s="9">
        <v>15</v>
      </c>
      <c r="G241" s="9">
        <v>0</v>
      </c>
      <c r="H241" s="9">
        <v>59</v>
      </c>
      <c r="I241" s="11">
        <f>C241-H241</f>
        <v>4</v>
      </c>
    </row>
    <row r="242" spans="1:9" x14ac:dyDescent="0.35">
      <c r="A242" s="9">
        <v>240</v>
      </c>
      <c r="B242" s="10" t="s">
        <v>304</v>
      </c>
      <c r="C242" s="9">
        <v>20</v>
      </c>
      <c r="D242" s="9">
        <v>10</v>
      </c>
      <c r="E242" s="9">
        <v>6</v>
      </c>
      <c r="F242" s="9">
        <v>0</v>
      </c>
      <c r="G242" s="9">
        <v>0</v>
      </c>
      <c r="H242" s="9">
        <v>16</v>
      </c>
      <c r="I242" s="11">
        <f>C242-H242</f>
        <v>4</v>
      </c>
    </row>
    <row r="243" spans="1:9" x14ac:dyDescent="0.35">
      <c r="A243" s="9">
        <v>241</v>
      </c>
      <c r="B243" s="10" t="s">
        <v>305</v>
      </c>
      <c r="C243" s="9">
        <v>312</v>
      </c>
      <c r="D243" s="9">
        <v>120</v>
      </c>
      <c r="E243" s="9">
        <v>164</v>
      </c>
      <c r="F243" s="9">
        <v>25</v>
      </c>
      <c r="G243" s="9">
        <v>0</v>
      </c>
      <c r="H243" s="9">
        <v>309</v>
      </c>
      <c r="I243" s="11">
        <f>C243-H243</f>
        <v>3</v>
      </c>
    </row>
    <row r="244" spans="1:9" x14ac:dyDescent="0.35">
      <c r="A244" s="9">
        <v>242</v>
      </c>
      <c r="B244" s="10" t="s">
        <v>160</v>
      </c>
      <c r="C244" s="9">
        <v>118</v>
      </c>
      <c r="D244" s="9">
        <v>27</v>
      </c>
      <c r="E244" s="9">
        <v>62</v>
      </c>
      <c r="F244" s="9">
        <v>16</v>
      </c>
      <c r="G244" s="9">
        <v>0</v>
      </c>
      <c r="H244" s="9">
        <v>115</v>
      </c>
      <c r="I244" s="11">
        <f>C244-H244</f>
        <v>3</v>
      </c>
    </row>
    <row r="245" spans="1:9" x14ac:dyDescent="0.35">
      <c r="A245" s="9">
        <v>243</v>
      </c>
      <c r="B245" s="10" t="s">
        <v>173</v>
      </c>
      <c r="C245" s="9">
        <v>64</v>
      </c>
      <c r="D245" s="9">
        <v>20</v>
      </c>
      <c r="E245" s="9">
        <v>37</v>
      </c>
      <c r="F245" s="9">
        <v>3</v>
      </c>
      <c r="G245" s="9">
        <v>1</v>
      </c>
      <c r="H245" s="9">
        <v>61</v>
      </c>
      <c r="I245" s="11">
        <f>C245-H245</f>
        <v>3</v>
      </c>
    </row>
    <row r="246" spans="1:9" x14ac:dyDescent="0.35">
      <c r="A246" s="9">
        <v>244</v>
      </c>
      <c r="B246" s="10" t="s">
        <v>140</v>
      </c>
      <c r="C246" s="9">
        <v>56</v>
      </c>
      <c r="D246" s="9">
        <v>8</v>
      </c>
      <c r="E246" s="9">
        <v>37</v>
      </c>
      <c r="F246" s="9">
        <v>9</v>
      </c>
      <c r="G246" s="9">
        <v>0</v>
      </c>
      <c r="H246" s="9">
        <v>54</v>
      </c>
      <c r="I246" s="11">
        <f>C246-H246</f>
        <v>2</v>
      </c>
    </row>
    <row r="247" spans="1:9" x14ac:dyDescent="0.35">
      <c r="A247" s="9">
        <v>245</v>
      </c>
      <c r="B247" s="10" t="s">
        <v>163</v>
      </c>
      <c r="C247" s="9">
        <v>131</v>
      </c>
      <c r="D247" s="9">
        <v>22</v>
      </c>
      <c r="E247" s="9">
        <v>83</v>
      </c>
      <c r="F247" s="9">
        <v>21</v>
      </c>
      <c r="G247" s="9">
        <v>0</v>
      </c>
      <c r="H247" s="9">
        <v>129</v>
      </c>
      <c r="I247" s="11">
        <f>C247-H247</f>
        <v>2</v>
      </c>
    </row>
    <row r="248" spans="1:9" x14ac:dyDescent="0.35">
      <c r="A248" s="9">
        <v>246</v>
      </c>
      <c r="B248" s="10" t="s">
        <v>306</v>
      </c>
      <c r="C248" s="9">
        <v>124</v>
      </c>
      <c r="D248" s="9">
        <v>24</v>
      </c>
      <c r="E248" s="9">
        <v>47</v>
      </c>
      <c r="F248" s="9">
        <v>49</v>
      </c>
      <c r="G248" s="9">
        <v>0</v>
      </c>
      <c r="H248" s="9">
        <v>122</v>
      </c>
      <c r="I248" s="11">
        <f>C248-H248</f>
        <v>2</v>
      </c>
    </row>
    <row r="249" spans="1:9" x14ac:dyDescent="0.35">
      <c r="A249" s="9">
        <v>247</v>
      </c>
      <c r="B249" s="10" t="s">
        <v>307</v>
      </c>
      <c r="C249" s="9">
        <v>108</v>
      </c>
      <c r="D249" s="9">
        <v>42</v>
      </c>
      <c r="E249" s="9">
        <v>53</v>
      </c>
      <c r="F249" s="9">
        <v>8</v>
      </c>
      <c r="G249" s="9">
        <v>0</v>
      </c>
      <c r="H249" s="9">
        <v>107</v>
      </c>
      <c r="I249" s="11">
        <f>C249-H249</f>
        <v>1</v>
      </c>
    </row>
    <row r="250" spans="1:9" x14ac:dyDescent="0.35">
      <c r="A250" s="9">
        <v>248</v>
      </c>
      <c r="B250" s="10" t="s">
        <v>136</v>
      </c>
      <c r="C250" s="9">
        <v>35</v>
      </c>
      <c r="D250" s="9">
        <v>23</v>
      </c>
      <c r="E250" s="9">
        <v>10</v>
      </c>
      <c r="F250" s="9">
        <v>1</v>
      </c>
      <c r="G250" s="9">
        <v>0</v>
      </c>
      <c r="H250" s="9">
        <v>34</v>
      </c>
      <c r="I250" s="11">
        <f>C250-H250</f>
        <v>1</v>
      </c>
    </row>
    <row r="251" spans="1:9" x14ac:dyDescent="0.35">
      <c r="A251" s="9">
        <v>249</v>
      </c>
      <c r="B251" s="10" t="s">
        <v>178</v>
      </c>
      <c r="C251" s="9">
        <v>135</v>
      </c>
      <c r="D251" s="9">
        <v>223</v>
      </c>
      <c r="E251" s="9">
        <v>72</v>
      </c>
      <c r="F251" s="9">
        <v>9</v>
      </c>
      <c r="G251" s="9">
        <v>8</v>
      </c>
      <c r="H251" s="9">
        <v>135</v>
      </c>
      <c r="I251" s="11">
        <f>C251-H251</f>
        <v>0</v>
      </c>
    </row>
    <row r="252" spans="1:9" x14ac:dyDescent="0.35">
      <c r="A252" s="9">
        <v>250</v>
      </c>
      <c r="B252" s="10" t="s">
        <v>111</v>
      </c>
      <c r="C252" s="9">
        <v>160</v>
      </c>
      <c r="D252" s="9">
        <v>85</v>
      </c>
      <c r="E252" s="9">
        <v>52</v>
      </c>
      <c r="F252" s="9">
        <v>7</v>
      </c>
      <c r="G252" s="9">
        <v>0</v>
      </c>
      <c r="H252" s="9">
        <v>160</v>
      </c>
      <c r="I252" s="11">
        <f>C252-H252</f>
        <v>0</v>
      </c>
    </row>
    <row r="253" spans="1:9" x14ac:dyDescent="0.35">
      <c r="A253" s="9">
        <v>251</v>
      </c>
      <c r="B253" s="10" t="s">
        <v>205</v>
      </c>
      <c r="C253" s="9">
        <v>1310</v>
      </c>
      <c r="D253" s="9">
        <v>339</v>
      </c>
      <c r="E253" s="9">
        <v>917</v>
      </c>
      <c r="F253" s="9">
        <v>2</v>
      </c>
      <c r="G253" s="9">
        <v>0</v>
      </c>
      <c r="H253" s="9">
        <v>1310</v>
      </c>
      <c r="I253" s="11">
        <f>C253-H253</f>
        <v>0</v>
      </c>
    </row>
    <row r="254" spans="1:9" x14ac:dyDescent="0.35">
      <c r="A254" s="9">
        <v>252</v>
      </c>
      <c r="B254" s="10" t="s">
        <v>139</v>
      </c>
      <c r="C254" s="9">
        <v>218</v>
      </c>
      <c r="D254" s="9">
        <v>42</v>
      </c>
      <c r="E254" s="9">
        <v>154</v>
      </c>
      <c r="F254" s="9">
        <v>21</v>
      </c>
      <c r="G254" s="9">
        <v>3</v>
      </c>
      <c r="H254" s="9">
        <v>218</v>
      </c>
      <c r="I254" s="11">
        <f>C254-H254</f>
        <v>0</v>
      </c>
    </row>
    <row r="255" spans="1:9" x14ac:dyDescent="0.35">
      <c r="A255" s="9">
        <v>253</v>
      </c>
      <c r="B255" s="10" t="s">
        <v>181</v>
      </c>
      <c r="C255" s="9">
        <v>423</v>
      </c>
      <c r="D255" s="9">
        <v>200</v>
      </c>
      <c r="E255" s="9">
        <v>152</v>
      </c>
      <c r="F255" s="9">
        <v>43</v>
      </c>
      <c r="G255" s="9">
        <v>0</v>
      </c>
      <c r="H255" s="9">
        <v>423</v>
      </c>
      <c r="I255" s="11">
        <f>C255-H255</f>
        <v>0</v>
      </c>
    </row>
    <row r="256" spans="1:9" x14ac:dyDescent="0.35">
      <c r="A256" s="9">
        <v>254</v>
      </c>
      <c r="B256" s="10" t="s">
        <v>308</v>
      </c>
      <c r="C256" s="9">
        <v>161</v>
      </c>
      <c r="D256" s="9">
        <v>35</v>
      </c>
      <c r="E256" s="9">
        <v>71</v>
      </c>
      <c r="F256" s="9">
        <v>46</v>
      </c>
      <c r="G256" s="9">
        <v>9</v>
      </c>
      <c r="H256" s="9">
        <v>161</v>
      </c>
      <c r="I256" s="11">
        <f>C256-H256</f>
        <v>0</v>
      </c>
    </row>
    <row r="257" spans="1:9" x14ac:dyDescent="0.35">
      <c r="A257" s="9">
        <v>255</v>
      </c>
      <c r="B257" s="10" t="s">
        <v>9</v>
      </c>
      <c r="C257" s="9">
        <v>42</v>
      </c>
      <c r="D257" s="9">
        <v>12</v>
      </c>
      <c r="E257" s="9">
        <v>28</v>
      </c>
      <c r="F257" s="9">
        <v>2</v>
      </c>
      <c r="G257" s="9">
        <v>0</v>
      </c>
      <c r="H257" s="9">
        <v>42</v>
      </c>
      <c r="I257" s="11">
        <f>C257-H257</f>
        <v>0</v>
      </c>
    </row>
    <row r="258" spans="1:9" x14ac:dyDescent="0.35">
      <c r="A258" s="9">
        <v>256</v>
      </c>
      <c r="B258" s="10" t="s">
        <v>15</v>
      </c>
      <c r="C258" s="9">
        <v>36</v>
      </c>
      <c r="D258" s="9">
        <v>2</v>
      </c>
      <c r="E258" s="9">
        <v>23</v>
      </c>
      <c r="F258" s="9">
        <v>10</v>
      </c>
      <c r="G258" s="9">
        <v>1</v>
      </c>
      <c r="H258" s="9">
        <v>36</v>
      </c>
      <c r="I258" s="11">
        <f>C258-H258</f>
        <v>0</v>
      </c>
    </row>
    <row r="259" spans="1:9" x14ac:dyDescent="0.35">
      <c r="A259" s="9">
        <v>257</v>
      </c>
      <c r="B259" s="10" t="s">
        <v>135</v>
      </c>
      <c r="C259" s="9">
        <v>85</v>
      </c>
      <c r="D259" s="9">
        <v>39</v>
      </c>
      <c r="E259" s="9">
        <v>46</v>
      </c>
      <c r="F259" s="9">
        <v>0</v>
      </c>
      <c r="G259" s="9">
        <v>0</v>
      </c>
      <c r="H259" s="9">
        <v>85</v>
      </c>
      <c r="I259" s="11">
        <f>C259-H259</f>
        <v>0</v>
      </c>
    </row>
    <row r="260" spans="1:9" x14ac:dyDescent="0.35">
      <c r="A260" s="9">
        <v>258</v>
      </c>
      <c r="B260" s="10" t="s">
        <v>172</v>
      </c>
      <c r="C260" s="9">
        <v>72</v>
      </c>
      <c r="D260" s="9">
        <v>10</v>
      </c>
      <c r="E260" s="9">
        <v>40</v>
      </c>
      <c r="F260" s="9">
        <v>22</v>
      </c>
      <c r="G260" s="9">
        <v>0</v>
      </c>
      <c r="H260" s="9">
        <v>72</v>
      </c>
      <c r="I260" s="11">
        <f>C260-H260</f>
        <v>0</v>
      </c>
    </row>
    <row r="261" spans="1:9" x14ac:dyDescent="0.35">
      <c r="A261" s="9">
        <v>259</v>
      </c>
      <c r="B261" s="10" t="s">
        <v>258</v>
      </c>
      <c r="C261" s="9">
        <v>60</v>
      </c>
      <c r="D261" s="9">
        <v>11</v>
      </c>
      <c r="E261" s="9">
        <v>43</v>
      </c>
      <c r="F261" s="9">
        <v>2</v>
      </c>
      <c r="G261" s="9">
        <v>1</v>
      </c>
      <c r="H261" s="9">
        <v>60</v>
      </c>
      <c r="I261" s="11">
        <f>C261-H261</f>
        <v>0</v>
      </c>
    </row>
    <row r="262" spans="1:9" x14ac:dyDescent="0.35">
      <c r="A262" s="12"/>
      <c r="B262" s="13" t="s">
        <v>1</v>
      </c>
      <c r="C262" s="14">
        <f>SUM(C3:C261)</f>
        <v>175235</v>
      </c>
      <c r="D262" s="14">
        <f t="shared" ref="D262:H262" si="0">SUM(D3:D261)</f>
        <v>40916</v>
      </c>
      <c r="E262" s="14">
        <f t="shared" si="0"/>
        <v>77763</v>
      </c>
      <c r="F262" s="14">
        <f t="shared" si="0"/>
        <v>5661</v>
      </c>
      <c r="G262" s="14">
        <f t="shared" si="0"/>
        <v>488</v>
      </c>
      <c r="H262" s="14">
        <f t="shared" si="0"/>
        <v>131175</v>
      </c>
      <c r="I262" s="20">
        <f>C262-H262</f>
        <v>44060</v>
      </c>
    </row>
  </sheetData>
  <autoFilter ref="A2:I2">
    <sortState ref="A2:I261">
      <sortCondition descending="1" ref="I1"/>
    </sortState>
  </autoFilter>
  <mergeCells count="1">
    <mergeCell ref="A1:I1"/>
  </mergeCells>
  <printOptions horizontalCentered="1"/>
  <pageMargins left="0.5" right="0.5" top="0.5" bottom="0.5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2"/>
  <sheetViews>
    <sheetView showGridLines="0" tabSelected="1" zoomScaleNormal="100" workbookViewId="0">
      <selection activeCell="J7" sqref="J7"/>
    </sheetView>
  </sheetViews>
  <sheetFormatPr defaultRowHeight="14.5" x14ac:dyDescent="0.35"/>
  <cols>
    <col min="1" max="1" width="4.08984375" style="4" customWidth="1"/>
    <col min="2" max="2" width="34.90625" style="6" bestFit="1" customWidth="1"/>
    <col min="3" max="3" width="15.6328125" style="4" customWidth="1"/>
    <col min="4" max="5" width="9.26953125" style="4" customWidth="1"/>
    <col min="6" max="6" width="10.453125" style="4" hidden="1" customWidth="1"/>
    <col min="7" max="7" width="8.54296875" style="4" hidden="1" customWidth="1"/>
    <col min="8" max="8" width="8.81640625" style="4" hidden="1" customWidth="1"/>
    <col min="9" max="9" width="10" style="4" hidden="1" customWidth="1"/>
    <col min="10" max="10" width="9.90625" style="21" customWidth="1"/>
  </cols>
  <sheetData>
    <row r="1" spans="1:10" ht="17.5" x14ac:dyDescent="0.35">
      <c r="A1" s="15" t="s">
        <v>538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42" x14ac:dyDescent="0.35">
      <c r="A2" s="7" t="s">
        <v>0</v>
      </c>
      <c r="B2" s="7" t="s">
        <v>261</v>
      </c>
      <c r="C2" s="7" t="s">
        <v>262</v>
      </c>
      <c r="D2" s="7" t="s">
        <v>267</v>
      </c>
      <c r="E2" s="7" t="s">
        <v>264</v>
      </c>
      <c r="F2" s="7" t="s">
        <v>263</v>
      </c>
      <c r="G2" s="7" t="s">
        <v>264</v>
      </c>
      <c r="H2" s="7" t="s">
        <v>265</v>
      </c>
      <c r="I2" s="22" t="s">
        <v>266</v>
      </c>
      <c r="J2" s="7" t="s">
        <v>312</v>
      </c>
    </row>
    <row r="3" spans="1:10" x14ac:dyDescent="0.35">
      <c r="A3" s="23">
        <v>1</v>
      </c>
      <c r="B3" s="24" t="s">
        <v>109</v>
      </c>
      <c r="C3" s="23">
        <v>3794</v>
      </c>
      <c r="D3" s="23">
        <v>3658</v>
      </c>
      <c r="E3" s="23">
        <v>1891</v>
      </c>
      <c r="F3" s="23">
        <v>1596</v>
      </c>
      <c r="G3" s="23">
        <v>1867</v>
      </c>
      <c r="H3" s="23">
        <v>24</v>
      </c>
      <c r="I3" s="25">
        <v>0</v>
      </c>
      <c r="J3" s="18">
        <f>D3-E3</f>
        <v>1767</v>
      </c>
    </row>
    <row r="4" spans="1:10" x14ac:dyDescent="0.35">
      <c r="A4" s="26">
        <v>2</v>
      </c>
      <c r="B4" s="27" t="s">
        <v>247</v>
      </c>
      <c r="C4" s="26">
        <v>3275</v>
      </c>
      <c r="D4" s="26">
        <v>3169</v>
      </c>
      <c r="E4" s="23">
        <v>1496</v>
      </c>
      <c r="F4" s="26">
        <v>1611</v>
      </c>
      <c r="G4" s="26">
        <v>1372</v>
      </c>
      <c r="H4" s="26">
        <v>124</v>
      </c>
      <c r="I4" s="28">
        <v>0</v>
      </c>
      <c r="J4" s="18">
        <f>D4-E4</f>
        <v>1673</v>
      </c>
    </row>
    <row r="5" spans="1:10" x14ac:dyDescent="0.35">
      <c r="A5" s="23">
        <v>3</v>
      </c>
      <c r="B5" s="27" t="s">
        <v>207</v>
      </c>
      <c r="C5" s="26">
        <v>5224</v>
      </c>
      <c r="D5" s="26">
        <v>5109</v>
      </c>
      <c r="E5" s="23">
        <v>3761</v>
      </c>
      <c r="F5" s="26">
        <v>1339</v>
      </c>
      <c r="G5" s="26">
        <v>3701</v>
      </c>
      <c r="H5" s="26">
        <v>3</v>
      </c>
      <c r="I5" s="28">
        <v>57</v>
      </c>
      <c r="J5" s="18">
        <f>D5-E5</f>
        <v>1348</v>
      </c>
    </row>
    <row r="6" spans="1:10" x14ac:dyDescent="0.35">
      <c r="A6" s="26">
        <v>4</v>
      </c>
      <c r="B6" s="27" t="s">
        <v>180</v>
      </c>
      <c r="C6" s="26">
        <v>1958</v>
      </c>
      <c r="D6" s="26">
        <v>1664</v>
      </c>
      <c r="E6" s="23">
        <v>417</v>
      </c>
      <c r="F6" s="26">
        <v>970</v>
      </c>
      <c r="G6" s="26">
        <v>399</v>
      </c>
      <c r="H6" s="26">
        <v>18</v>
      </c>
      <c r="I6" s="28">
        <v>0</v>
      </c>
      <c r="J6" s="18">
        <f>D6-E6</f>
        <v>1247</v>
      </c>
    </row>
    <row r="7" spans="1:10" x14ac:dyDescent="0.35">
      <c r="A7" s="23">
        <v>5</v>
      </c>
      <c r="B7" s="27" t="s">
        <v>202</v>
      </c>
      <c r="C7" s="26">
        <v>2328</v>
      </c>
      <c r="D7" s="26">
        <v>1477</v>
      </c>
      <c r="E7" s="23">
        <v>578</v>
      </c>
      <c r="F7" s="26">
        <v>778</v>
      </c>
      <c r="G7" s="26">
        <v>568</v>
      </c>
      <c r="H7" s="26">
        <v>10</v>
      </c>
      <c r="I7" s="28">
        <v>0</v>
      </c>
      <c r="J7" s="18">
        <f>D7-E7</f>
        <v>899</v>
      </c>
    </row>
    <row r="8" spans="1:10" x14ac:dyDescent="0.35">
      <c r="A8" s="26">
        <v>6</v>
      </c>
      <c r="B8" s="27" t="s">
        <v>99</v>
      </c>
      <c r="C8" s="26">
        <v>1345</v>
      </c>
      <c r="D8" s="26">
        <v>1142</v>
      </c>
      <c r="E8" s="23">
        <v>282</v>
      </c>
      <c r="F8" s="26">
        <v>843</v>
      </c>
      <c r="G8" s="26">
        <v>267</v>
      </c>
      <c r="H8" s="26">
        <v>15</v>
      </c>
      <c r="I8" s="28">
        <v>0</v>
      </c>
      <c r="J8" s="18">
        <f>D8-E8</f>
        <v>860</v>
      </c>
    </row>
    <row r="9" spans="1:10" x14ac:dyDescent="0.35">
      <c r="A9" s="23">
        <v>7</v>
      </c>
      <c r="B9" s="27" t="s">
        <v>57</v>
      </c>
      <c r="C9" s="26">
        <v>4137</v>
      </c>
      <c r="D9" s="26">
        <v>1956</v>
      </c>
      <c r="E9" s="23">
        <v>1141</v>
      </c>
      <c r="F9" s="26">
        <v>691</v>
      </c>
      <c r="G9" s="26">
        <v>1008</v>
      </c>
      <c r="H9" s="26">
        <v>133</v>
      </c>
      <c r="I9" s="28">
        <v>0</v>
      </c>
      <c r="J9" s="18">
        <f>D9-E9</f>
        <v>815</v>
      </c>
    </row>
    <row r="10" spans="1:10" x14ac:dyDescent="0.35">
      <c r="A10" s="26">
        <v>8</v>
      </c>
      <c r="B10" s="27" t="s">
        <v>189</v>
      </c>
      <c r="C10" s="26">
        <v>1360</v>
      </c>
      <c r="D10" s="26">
        <v>1072</v>
      </c>
      <c r="E10" s="23">
        <v>272</v>
      </c>
      <c r="F10" s="26">
        <v>654</v>
      </c>
      <c r="G10" s="26">
        <v>272</v>
      </c>
      <c r="H10" s="26">
        <v>0</v>
      </c>
      <c r="I10" s="28">
        <v>0</v>
      </c>
      <c r="J10" s="18">
        <f>D10-E10</f>
        <v>800</v>
      </c>
    </row>
    <row r="11" spans="1:10" x14ac:dyDescent="0.35">
      <c r="A11" s="23">
        <v>9</v>
      </c>
      <c r="B11" s="27" t="s">
        <v>24</v>
      </c>
      <c r="C11" s="26">
        <v>1933</v>
      </c>
      <c r="D11" s="26">
        <v>1733</v>
      </c>
      <c r="E11" s="23">
        <v>977</v>
      </c>
      <c r="F11" s="26">
        <v>335</v>
      </c>
      <c r="G11" s="26">
        <v>851</v>
      </c>
      <c r="H11" s="26">
        <v>124</v>
      </c>
      <c r="I11" s="28">
        <v>2</v>
      </c>
      <c r="J11" s="18">
        <f>D11-E11</f>
        <v>756</v>
      </c>
    </row>
    <row r="12" spans="1:10" x14ac:dyDescent="0.35">
      <c r="A12" s="26">
        <v>10</v>
      </c>
      <c r="B12" s="27" t="s">
        <v>208</v>
      </c>
      <c r="C12" s="26">
        <v>1902</v>
      </c>
      <c r="D12" s="26">
        <v>1735</v>
      </c>
      <c r="E12" s="23">
        <v>1003</v>
      </c>
      <c r="F12" s="26">
        <v>722</v>
      </c>
      <c r="G12" s="26">
        <v>962</v>
      </c>
      <c r="H12" s="26">
        <v>41</v>
      </c>
      <c r="I12" s="28">
        <v>0</v>
      </c>
      <c r="J12" s="18">
        <f>D12-E12</f>
        <v>732</v>
      </c>
    </row>
    <row r="13" spans="1:10" x14ac:dyDescent="0.35">
      <c r="A13" s="23">
        <v>11</v>
      </c>
      <c r="B13" s="27" t="s">
        <v>277</v>
      </c>
      <c r="C13" s="26">
        <v>2220</v>
      </c>
      <c r="D13" s="26">
        <v>2033</v>
      </c>
      <c r="E13" s="23">
        <v>1303</v>
      </c>
      <c r="F13" s="26">
        <v>534</v>
      </c>
      <c r="G13" s="26">
        <v>1298</v>
      </c>
      <c r="H13" s="26">
        <v>5</v>
      </c>
      <c r="I13" s="28">
        <v>0</v>
      </c>
      <c r="J13" s="18">
        <f>D13-E13</f>
        <v>730</v>
      </c>
    </row>
    <row r="14" spans="1:10" x14ac:dyDescent="0.35">
      <c r="A14" s="26">
        <v>12</v>
      </c>
      <c r="B14" s="27" t="s">
        <v>206</v>
      </c>
      <c r="C14" s="26">
        <v>1401</v>
      </c>
      <c r="D14" s="26">
        <v>1203</v>
      </c>
      <c r="E14" s="23">
        <v>478</v>
      </c>
      <c r="F14" s="26">
        <v>663</v>
      </c>
      <c r="G14" s="26">
        <v>478</v>
      </c>
      <c r="H14" s="26">
        <v>0</v>
      </c>
      <c r="I14" s="28">
        <v>0</v>
      </c>
      <c r="J14" s="18">
        <f>D14-E14</f>
        <v>725</v>
      </c>
    </row>
    <row r="15" spans="1:10" x14ac:dyDescent="0.35">
      <c r="A15" s="23">
        <v>13</v>
      </c>
      <c r="B15" s="27" t="s">
        <v>255</v>
      </c>
      <c r="C15" s="26">
        <v>1708</v>
      </c>
      <c r="D15" s="26">
        <v>1480</v>
      </c>
      <c r="E15" s="23">
        <v>763</v>
      </c>
      <c r="F15" s="26">
        <v>583</v>
      </c>
      <c r="G15" s="26">
        <v>746</v>
      </c>
      <c r="H15" s="26">
        <v>12</v>
      </c>
      <c r="I15" s="28">
        <v>5</v>
      </c>
      <c r="J15" s="18">
        <f>D15-E15</f>
        <v>717</v>
      </c>
    </row>
    <row r="16" spans="1:10" x14ac:dyDescent="0.35">
      <c r="A16" s="26">
        <v>14</v>
      </c>
      <c r="B16" s="27" t="s">
        <v>148</v>
      </c>
      <c r="C16" s="26">
        <v>750</v>
      </c>
      <c r="D16" s="26">
        <v>743</v>
      </c>
      <c r="E16" s="23">
        <v>52</v>
      </c>
      <c r="F16" s="26">
        <v>690</v>
      </c>
      <c r="G16" s="26">
        <v>43</v>
      </c>
      <c r="H16" s="26">
        <v>9</v>
      </c>
      <c r="I16" s="28">
        <v>0</v>
      </c>
      <c r="J16" s="18">
        <f>D16-E16</f>
        <v>691</v>
      </c>
    </row>
    <row r="17" spans="1:10" x14ac:dyDescent="0.35">
      <c r="A17" s="23">
        <v>15</v>
      </c>
      <c r="B17" s="27" t="s">
        <v>49</v>
      </c>
      <c r="C17" s="26">
        <v>838</v>
      </c>
      <c r="D17" s="26">
        <v>662</v>
      </c>
      <c r="E17" s="23">
        <v>25</v>
      </c>
      <c r="F17" s="26">
        <v>528</v>
      </c>
      <c r="G17" s="26">
        <v>17</v>
      </c>
      <c r="H17" s="26">
        <v>8</v>
      </c>
      <c r="I17" s="28">
        <v>0</v>
      </c>
      <c r="J17" s="18">
        <f>D17-E17</f>
        <v>637</v>
      </c>
    </row>
    <row r="18" spans="1:10" x14ac:dyDescent="0.35">
      <c r="A18" s="26">
        <v>16</v>
      </c>
      <c r="B18" s="27" t="s">
        <v>237</v>
      </c>
      <c r="C18" s="26">
        <v>3691</v>
      </c>
      <c r="D18" s="26">
        <v>1518</v>
      </c>
      <c r="E18" s="23">
        <v>918</v>
      </c>
      <c r="F18" s="26">
        <v>600</v>
      </c>
      <c r="G18" s="26">
        <v>916</v>
      </c>
      <c r="H18" s="26">
        <v>2</v>
      </c>
      <c r="I18" s="28">
        <v>0</v>
      </c>
      <c r="J18" s="18">
        <f>D18-E18</f>
        <v>600</v>
      </c>
    </row>
    <row r="19" spans="1:10" x14ac:dyDescent="0.35">
      <c r="A19" s="23">
        <v>17</v>
      </c>
      <c r="B19" s="27" t="s">
        <v>157</v>
      </c>
      <c r="C19" s="26">
        <v>1570</v>
      </c>
      <c r="D19" s="26">
        <v>1354</v>
      </c>
      <c r="E19" s="23">
        <v>760</v>
      </c>
      <c r="F19" s="26">
        <v>415</v>
      </c>
      <c r="G19" s="26">
        <v>735</v>
      </c>
      <c r="H19" s="26">
        <v>25</v>
      </c>
      <c r="I19" s="28">
        <v>0</v>
      </c>
      <c r="J19" s="18">
        <f>D19-E19</f>
        <v>594</v>
      </c>
    </row>
    <row r="20" spans="1:10" x14ac:dyDescent="0.35">
      <c r="A20" s="26">
        <v>18</v>
      </c>
      <c r="B20" s="27" t="s">
        <v>309</v>
      </c>
      <c r="C20" s="26">
        <v>1626</v>
      </c>
      <c r="D20" s="26">
        <v>1517</v>
      </c>
      <c r="E20" s="23">
        <v>948</v>
      </c>
      <c r="F20" s="26">
        <v>6</v>
      </c>
      <c r="G20" s="26">
        <v>944</v>
      </c>
      <c r="H20" s="26">
        <v>4</v>
      </c>
      <c r="I20" s="28">
        <v>0</v>
      </c>
      <c r="J20" s="18">
        <f>D20-E20</f>
        <v>569</v>
      </c>
    </row>
    <row r="21" spans="1:10" x14ac:dyDescent="0.35">
      <c r="A21" s="23">
        <v>19</v>
      </c>
      <c r="B21" s="27" t="s">
        <v>214</v>
      </c>
      <c r="C21" s="26">
        <v>1758</v>
      </c>
      <c r="D21" s="26">
        <v>1726</v>
      </c>
      <c r="E21" s="23">
        <v>1176</v>
      </c>
      <c r="F21" s="26">
        <v>258</v>
      </c>
      <c r="G21" s="26">
        <v>1138</v>
      </c>
      <c r="H21" s="26">
        <v>34</v>
      </c>
      <c r="I21" s="28">
        <v>4</v>
      </c>
      <c r="J21" s="18">
        <f>D21-E21</f>
        <v>550</v>
      </c>
    </row>
    <row r="22" spans="1:10" x14ac:dyDescent="0.35">
      <c r="A22" s="26">
        <v>20</v>
      </c>
      <c r="B22" s="27" t="s">
        <v>204</v>
      </c>
      <c r="C22" s="26">
        <v>1722</v>
      </c>
      <c r="D22" s="26">
        <v>1604</v>
      </c>
      <c r="E22" s="23">
        <v>1068</v>
      </c>
      <c r="F22" s="26">
        <v>505</v>
      </c>
      <c r="G22" s="26">
        <v>1056</v>
      </c>
      <c r="H22" s="26">
        <v>12</v>
      </c>
      <c r="I22" s="28">
        <v>0</v>
      </c>
      <c r="J22" s="18">
        <f>D22-E22</f>
        <v>536</v>
      </c>
    </row>
    <row r="23" spans="1:10" x14ac:dyDescent="0.35">
      <c r="A23" s="23">
        <v>21</v>
      </c>
      <c r="B23" s="27" t="s">
        <v>256</v>
      </c>
      <c r="C23" s="26">
        <v>1092</v>
      </c>
      <c r="D23" s="26">
        <v>702</v>
      </c>
      <c r="E23" s="23">
        <v>171</v>
      </c>
      <c r="F23" s="26">
        <v>437</v>
      </c>
      <c r="G23" s="26">
        <v>171</v>
      </c>
      <c r="H23" s="26">
        <v>0</v>
      </c>
      <c r="I23" s="28">
        <v>0</v>
      </c>
      <c r="J23" s="18">
        <f>D23-E23</f>
        <v>531</v>
      </c>
    </row>
    <row r="24" spans="1:10" x14ac:dyDescent="0.35">
      <c r="A24" s="26">
        <v>22</v>
      </c>
      <c r="B24" s="27" t="s">
        <v>273</v>
      </c>
      <c r="C24" s="26">
        <v>1621</v>
      </c>
      <c r="D24" s="26">
        <v>1335</v>
      </c>
      <c r="E24" s="23">
        <v>805</v>
      </c>
      <c r="F24" s="26">
        <v>463</v>
      </c>
      <c r="G24" s="26">
        <v>798</v>
      </c>
      <c r="H24" s="26">
        <v>7</v>
      </c>
      <c r="I24" s="28">
        <v>0</v>
      </c>
      <c r="J24" s="18">
        <f>D24-E24</f>
        <v>530</v>
      </c>
    </row>
    <row r="25" spans="1:10" x14ac:dyDescent="0.35">
      <c r="A25" s="23">
        <v>23</v>
      </c>
      <c r="B25" s="27" t="s">
        <v>161</v>
      </c>
      <c r="C25" s="26">
        <v>816</v>
      </c>
      <c r="D25" s="26">
        <v>782</v>
      </c>
      <c r="E25" s="23">
        <v>252</v>
      </c>
      <c r="F25" s="26">
        <v>523</v>
      </c>
      <c r="G25" s="26">
        <v>250</v>
      </c>
      <c r="H25" s="26">
        <v>2</v>
      </c>
      <c r="I25" s="28">
        <v>0</v>
      </c>
      <c r="J25" s="18">
        <f>D25-E25</f>
        <v>530</v>
      </c>
    </row>
    <row r="26" spans="1:10" x14ac:dyDescent="0.35">
      <c r="A26" s="26">
        <v>24</v>
      </c>
      <c r="B26" s="27" t="s">
        <v>292</v>
      </c>
      <c r="C26" s="26">
        <v>2256</v>
      </c>
      <c r="D26" s="26">
        <v>2205</v>
      </c>
      <c r="E26" s="23">
        <v>1689</v>
      </c>
      <c r="F26" s="26">
        <v>505</v>
      </c>
      <c r="G26" s="26">
        <v>1057</v>
      </c>
      <c r="H26" s="26">
        <v>549</v>
      </c>
      <c r="I26" s="28">
        <v>83</v>
      </c>
      <c r="J26" s="18">
        <f>D26-E26</f>
        <v>516</v>
      </c>
    </row>
    <row r="27" spans="1:10" x14ac:dyDescent="0.35">
      <c r="A27" s="23">
        <v>25</v>
      </c>
      <c r="B27" s="27" t="s">
        <v>7</v>
      </c>
      <c r="C27" s="26">
        <v>732</v>
      </c>
      <c r="D27" s="26">
        <v>593</v>
      </c>
      <c r="E27" s="23">
        <v>114</v>
      </c>
      <c r="F27" s="26">
        <v>359</v>
      </c>
      <c r="G27" s="26">
        <v>114</v>
      </c>
      <c r="H27" s="26">
        <v>0</v>
      </c>
      <c r="I27" s="28">
        <v>0</v>
      </c>
      <c r="J27" s="18">
        <f>D27-E27</f>
        <v>479</v>
      </c>
    </row>
    <row r="28" spans="1:10" x14ac:dyDescent="0.35">
      <c r="A28" s="26">
        <v>26</v>
      </c>
      <c r="B28" s="27" t="s">
        <v>211</v>
      </c>
      <c r="C28" s="26">
        <v>1376</v>
      </c>
      <c r="D28" s="26">
        <v>797</v>
      </c>
      <c r="E28" s="23">
        <v>324</v>
      </c>
      <c r="F28" s="26">
        <v>405</v>
      </c>
      <c r="G28" s="26">
        <v>323</v>
      </c>
      <c r="H28" s="26">
        <v>1</v>
      </c>
      <c r="I28" s="28">
        <v>0</v>
      </c>
      <c r="J28" s="18">
        <f>D28-E28</f>
        <v>473</v>
      </c>
    </row>
    <row r="29" spans="1:10" x14ac:dyDescent="0.35">
      <c r="A29" s="23">
        <v>27</v>
      </c>
      <c r="B29" s="27" t="s">
        <v>223</v>
      </c>
      <c r="C29" s="26">
        <v>671</v>
      </c>
      <c r="D29" s="26">
        <v>519</v>
      </c>
      <c r="E29" s="23">
        <v>51</v>
      </c>
      <c r="F29" s="26">
        <v>365</v>
      </c>
      <c r="G29" s="26">
        <v>48</v>
      </c>
      <c r="H29" s="26">
        <v>1</v>
      </c>
      <c r="I29" s="28">
        <v>2</v>
      </c>
      <c r="J29" s="18">
        <f>D29-E29</f>
        <v>468</v>
      </c>
    </row>
    <row r="30" spans="1:10" x14ac:dyDescent="0.35">
      <c r="A30" s="26">
        <v>28</v>
      </c>
      <c r="B30" s="27" t="s">
        <v>226</v>
      </c>
      <c r="C30" s="26">
        <v>1092</v>
      </c>
      <c r="D30" s="26">
        <v>1015</v>
      </c>
      <c r="E30" s="23">
        <v>561</v>
      </c>
      <c r="F30" s="26">
        <v>385</v>
      </c>
      <c r="G30" s="26">
        <v>525</v>
      </c>
      <c r="H30" s="26">
        <v>35</v>
      </c>
      <c r="I30" s="28">
        <v>1</v>
      </c>
      <c r="J30" s="18">
        <f>D30-E30</f>
        <v>454</v>
      </c>
    </row>
    <row r="31" spans="1:10" x14ac:dyDescent="0.35">
      <c r="A31" s="23">
        <v>29</v>
      </c>
      <c r="B31" s="27" t="s">
        <v>272</v>
      </c>
      <c r="C31" s="26">
        <v>1507</v>
      </c>
      <c r="D31" s="26">
        <v>1113</v>
      </c>
      <c r="E31" s="23">
        <v>660</v>
      </c>
      <c r="F31" s="26">
        <v>403</v>
      </c>
      <c r="G31" s="26">
        <v>593</v>
      </c>
      <c r="H31" s="26">
        <v>67</v>
      </c>
      <c r="I31" s="28">
        <v>0</v>
      </c>
      <c r="J31" s="18">
        <f>D31-E31</f>
        <v>453</v>
      </c>
    </row>
    <row r="32" spans="1:10" x14ac:dyDescent="0.35">
      <c r="A32" s="26">
        <v>30</v>
      </c>
      <c r="B32" s="27" t="s">
        <v>47</v>
      </c>
      <c r="C32" s="26">
        <v>802</v>
      </c>
      <c r="D32" s="26">
        <v>651</v>
      </c>
      <c r="E32" s="23">
        <v>230</v>
      </c>
      <c r="F32" s="26">
        <v>292</v>
      </c>
      <c r="G32" s="26">
        <v>225</v>
      </c>
      <c r="H32" s="26">
        <v>5</v>
      </c>
      <c r="I32" s="28">
        <v>0</v>
      </c>
      <c r="J32" s="18">
        <f>D32-E32</f>
        <v>421</v>
      </c>
    </row>
    <row r="33" spans="1:10" x14ac:dyDescent="0.35">
      <c r="A33" s="23">
        <v>31</v>
      </c>
      <c r="B33" s="27" t="s">
        <v>281</v>
      </c>
      <c r="C33" s="26">
        <v>875</v>
      </c>
      <c r="D33" s="26">
        <v>755</v>
      </c>
      <c r="E33" s="23">
        <v>348</v>
      </c>
      <c r="F33" s="26">
        <v>158</v>
      </c>
      <c r="G33" s="26">
        <v>344</v>
      </c>
      <c r="H33" s="26">
        <v>4</v>
      </c>
      <c r="I33" s="28">
        <v>0</v>
      </c>
      <c r="J33" s="18">
        <f>D33-E33</f>
        <v>407</v>
      </c>
    </row>
    <row r="34" spans="1:10" x14ac:dyDescent="0.35">
      <c r="A34" s="26">
        <v>32</v>
      </c>
      <c r="B34" s="27" t="s">
        <v>58</v>
      </c>
      <c r="C34" s="26">
        <v>649</v>
      </c>
      <c r="D34" s="26">
        <v>436</v>
      </c>
      <c r="E34" s="23">
        <v>36</v>
      </c>
      <c r="F34" s="26">
        <v>396</v>
      </c>
      <c r="G34" s="26">
        <v>36</v>
      </c>
      <c r="H34" s="26">
        <v>0</v>
      </c>
      <c r="I34" s="28">
        <v>0</v>
      </c>
      <c r="J34" s="18">
        <f>D34-E34</f>
        <v>400</v>
      </c>
    </row>
    <row r="35" spans="1:10" x14ac:dyDescent="0.35">
      <c r="A35" s="23">
        <v>33</v>
      </c>
      <c r="B35" s="27" t="s">
        <v>205</v>
      </c>
      <c r="C35" s="26">
        <v>1310</v>
      </c>
      <c r="D35" s="26">
        <v>1310</v>
      </c>
      <c r="E35" s="23">
        <v>919</v>
      </c>
      <c r="F35" s="26">
        <v>339</v>
      </c>
      <c r="G35" s="26">
        <v>917</v>
      </c>
      <c r="H35" s="26">
        <v>2</v>
      </c>
      <c r="I35" s="28">
        <v>0</v>
      </c>
      <c r="J35" s="18">
        <f>D35-E35</f>
        <v>391</v>
      </c>
    </row>
    <row r="36" spans="1:10" x14ac:dyDescent="0.35">
      <c r="A36" s="26">
        <v>34</v>
      </c>
      <c r="B36" s="27" t="s">
        <v>224</v>
      </c>
      <c r="C36" s="26">
        <v>768</v>
      </c>
      <c r="D36" s="26">
        <v>710</v>
      </c>
      <c r="E36" s="23">
        <v>332</v>
      </c>
      <c r="F36" s="26">
        <v>196</v>
      </c>
      <c r="G36" s="26">
        <v>323</v>
      </c>
      <c r="H36" s="26">
        <v>9</v>
      </c>
      <c r="I36" s="28">
        <v>0</v>
      </c>
      <c r="J36" s="18">
        <f>D36-E36</f>
        <v>378</v>
      </c>
    </row>
    <row r="37" spans="1:10" x14ac:dyDescent="0.35">
      <c r="A37" s="23">
        <v>35</v>
      </c>
      <c r="B37" s="27" t="s">
        <v>289</v>
      </c>
      <c r="C37" s="26">
        <v>814</v>
      </c>
      <c r="D37" s="26">
        <v>752</v>
      </c>
      <c r="E37" s="23">
        <v>376</v>
      </c>
      <c r="F37" s="26">
        <v>272</v>
      </c>
      <c r="G37" s="26">
        <v>359</v>
      </c>
      <c r="H37" s="26">
        <v>15</v>
      </c>
      <c r="I37" s="28">
        <v>2</v>
      </c>
      <c r="J37" s="18">
        <f>D37-E37</f>
        <v>376</v>
      </c>
    </row>
    <row r="38" spans="1:10" x14ac:dyDescent="0.35">
      <c r="A38" s="26">
        <v>36</v>
      </c>
      <c r="B38" s="27" t="s">
        <v>192</v>
      </c>
      <c r="C38" s="26">
        <v>1851</v>
      </c>
      <c r="D38" s="26">
        <v>1495</v>
      </c>
      <c r="E38" s="23">
        <v>1122</v>
      </c>
      <c r="F38" s="26">
        <v>332</v>
      </c>
      <c r="G38" s="26">
        <v>1041</v>
      </c>
      <c r="H38" s="26">
        <v>50</v>
      </c>
      <c r="I38" s="28">
        <v>31</v>
      </c>
      <c r="J38" s="18">
        <f>D38-E38</f>
        <v>373</v>
      </c>
    </row>
    <row r="39" spans="1:10" x14ac:dyDescent="0.35">
      <c r="A39" s="23">
        <v>37</v>
      </c>
      <c r="B39" s="27" t="s">
        <v>251</v>
      </c>
      <c r="C39" s="26">
        <v>659</v>
      </c>
      <c r="D39" s="26">
        <v>442</v>
      </c>
      <c r="E39" s="23">
        <v>72</v>
      </c>
      <c r="F39" s="26">
        <v>343</v>
      </c>
      <c r="G39" s="26">
        <v>62</v>
      </c>
      <c r="H39" s="26">
        <v>10</v>
      </c>
      <c r="I39" s="28">
        <v>0</v>
      </c>
      <c r="J39" s="18">
        <f>D39-E39</f>
        <v>370</v>
      </c>
    </row>
    <row r="40" spans="1:10" x14ac:dyDescent="0.35">
      <c r="A40" s="26">
        <v>38</v>
      </c>
      <c r="B40" s="27" t="s">
        <v>20</v>
      </c>
      <c r="C40" s="26">
        <v>1845</v>
      </c>
      <c r="D40" s="26">
        <v>1054</v>
      </c>
      <c r="E40" s="23">
        <v>687</v>
      </c>
      <c r="F40" s="26">
        <v>285</v>
      </c>
      <c r="G40" s="26">
        <v>678</v>
      </c>
      <c r="H40" s="26">
        <v>9</v>
      </c>
      <c r="I40" s="28">
        <v>0</v>
      </c>
      <c r="J40" s="18">
        <f>D40-E40</f>
        <v>367</v>
      </c>
    </row>
    <row r="41" spans="1:10" x14ac:dyDescent="0.35">
      <c r="A41" s="23">
        <v>39</v>
      </c>
      <c r="B41" s="27" t="s">
        <v>105</v>
      </c>
      <c r="C41" s="26">
        <v>1648</v>
      </c>
      <c r="D41" s="26">
        <v>652</v>
      </c>
      <c r="E41" s="23">
        <v>290</v>
      </c>
      <c r="F41" s="26">
        <v>340</v>
      </c>
      <c r="G41" s="26">
        <v>290</v>
      </c>
      <c r="H41" s="26">
        <v>0</v>
      </c>
      <c r="I41" s="28">
        <v>0</v>
      </c>
      <c r="J41" s="18">
        <f>D41-E41</f>
        <v>362</v>
      </c>
    </row>
    <row r="42" spans="1:10" x14ac:dyDescent="0.35">
      <c r="A42" s="26">
        <v>40</v>
      </c>
      <c r="B42" s="27" t="s">
        <v>77</v>
      </c>
      <c r="C42" s="26">
        <v>938</v>
      </c>
      <c r="D42" s="26">
        <v>763</v>
      </c>
      <c r="E42" s="23">
        <v>401</v>
      </c>
      <c r="F42" s="26">
        <v>360</v>
      </c>
      <c r="G42" s="26">
        <v>364</v>
      </c>
      <c r="H42" s="26">
        <v>33</v>
      </c>
      <c r="I42" s="28">
        <v>4</v>
      </c>
      <c r="J42" s="18">
        <f>D42-E42</f>
        <v>362</v>
      </c>
    </row>
    <row r="43" spans="1:10" x14ac:dyDescent="0.35">
      <c r="A43" s="23">
        <v>41</v>
      </c>
      <c r="B43" s="27" t="s">
        <v>268</v>
      </c>
      <c r="C43" s="26">
        <v>2081</v>
      </c>
      <c r="D43" s="26">
        <v>899</v>
      </c>
      <c r="E43" s="23">
        <v>538</v>
      </c>
      <c r="F43" s="26">
        <v>356</v>
      </c>
      <c r="G43" s="26">
        <v>532</v>
      </c>
      <c r="H43" s="26">
        <v>6</v>
      </c>
      <c r="I43" s="28">
        <v>0</v>
      </c>
      <c r="J43" s="18">
        <f>D43-E43</f>
        <v>361</v>
      </c>
    </row>
    <row r="44" spans="1:10" x14ac:dyDescent="0.35">
      <c r="A44" s="26">
        <v>42</v>
      </c>
      <c r="B44" s="27" t="s">
        <v>270</v>
      </c>
      <c r="C44" s="26">
        <v>1443</v>
      </c>
      <c r="D44" s="26">
        <v>565</v>
      </c>
      <c r="E44" s="23">
        <v>211</v>
      </c>
      <c r="F44" s="26">
        <v>330</v>
      </c>
      <c r="G44" s="26">
        <v>211</v>
      </c>
      <c r="H44" s="26">
        <v>0</v>
      </c>
      <c r="I44" s="28">
        <v>0</v>
      </c>
      <c r="J44" s="18">
        <f>D44-E44</f>
        <v>354</v>
      </c>
    </row>
    <row r="45" spans="1:10" x14ac:dyDescent="0.35">
      <c r="A45" s="23">
        <v>43</v>
      </c>
      <c r="B45" s="27" t="s">
        <v>65</v>
      </c>
      <c r="C45" s="26">
        <v>447</v>
      </c>
      <c r="D45" s="26">
        <v>361</v>
      </c>
      <c r="E45" s="23">
        <v>8</v>
      </c>
      <c r="F45" s="26">
        <v>313</v>
      </c>
      <c r="G45" s="26">
        <v>8</v>
      </c>
      <c r="H45" s="26">
        <v>0</v>
      </c>
      <c r="I45" s="28">
        <v>0</v>
      </c>
      <c r="J45" s="18">
        <f>D45-E45</f>
        <v>353</v>
      </c>
    </row>
    <row r="46" spans="1:10" x14ac:dyDescent="0.35">
      <c r="A46" s="26">
        <v>44</v>
      </c>
      <c r="B46" s="27" t="s">
        <v>234</v>
      </c>
      <c r="C46" s="26">
        <v>1449</v>
      </c>
      <c r="D46" s="26">
        <v>627</v>
      </c>
      <c r="E46" s="23">
        <v>276</v>
      </c>
      <c r="F46" s="26">
        <v>330</v>
      </c>
      <c r="G46" s="26">
        <v>274</v>
      </c>
      <c r="H46" s="26">
        <v>1</v>
      </c>
      <c r="I46" s="28">
        <v>1</v>
      </c>
      <c r="J46" s="18">
        <f>D46-E46</f>
        <v>351</v>
      </c>
    </row>
    <row r="47" spans="1:10" x14ac:dyDescent="0.35">
      <c r="A47" s="23">
        <v>45</v>
      </c>
      <c r="B47" s="27" t="s">
        <v>50</v>
      </c>
      <c r="C47" s="26">
        <v>950</v>
      </c>
      <c r="D47" s="26">
        <v>806</v>
      </c>
      <c r="E47" s="23">
        <v>462</v>
      </c>
      <c r="F47" s="26">
        <v>343</v>
      </c>
      <c r="G47" s="26">
        <v>387</v>
      </c>
      <c r="H47" s="26">
        <v>69</v>
      </c>
      <c r="I47" s="28">
        <v>6</v>
      </c>
      <c r="J47" s="18">
        <f>D47-E47</f>
        <v>344</v>
      </c>
    </row>
    <row r="48" spans="1:10" x14ac:dyDescent="0.35">
      <c r="A48" s="26">
        <v>46</v>
      </c>
      <c r="B48" s="27" t="s">
        <v>215</v>
      </c>
      <c r="C48" s="26">
        <v>1309</v>
      </c>
      <c r="D48" s="26">
        <v>1117</v>
      </c>
      <c r="E48" s="23">
        <v>791</v>
      </c>
      <c r="F48" s="26">
        <v>274</v>
      </c>
      <c r="G48" s="26">
        <v>598</v>
      </c>
      <c r="H48" s="26">
        <v>192</v>
      </c>
      <c r="I48" s="28">
        <v>1</v>
      </c>
      <c r="J48" s="18">
        <f>D48-E48</f>
        <v>326</v>
      </c>
    </row>
    <row r="49" spans="1:10" x14ac:dyDescent="0.35">
      <c r="A49" s="23">
        <v>47</v>
      </c>
      <c r="B49" s="27" t="s">
        <v>74</v>
      </c>
      <c r="C49" s="26">
        <v>1441</v>
      </c>
      <c r="D49" s="26">
        <v>852</v>
      </c>
      <c r="E49" s="23">
        <v>527</v>
      </c>
      <c r="F49" s="26">
        <v>294</v>
      </c>
      <c r="G49" s="26">
        <v>507</v>
      </c>
      <c r="H49" s="26">
        <v>20</v>
      </c>
      <c r="I49" s="28">
        <v>0</v>
      </c>
      <c r="J49" s="18">
        <f>D49-E49</f>
        <v>325</v>
      </c>
    </row>
    <row r="50" spans="1:10" x14ac:dyDescent="0.35">
      <c r="A50" s="26">
        <v>48</v>
      </c>
      <c r="B50" s="27" t="s">
        <v>125</v>
      </c>
      <c r="C50" s="26">
        <v>685</v>
      </c>
      <c r="D50" s="26">
        <v>589</v>
      </c>
      <c r="E50" s="23">
        <v>281</v>
      </c>
      <c r="F50" s="26">
        <v>250</v>
      </c>
      <c r="G50" s="26">
        <v>276</v>
      </c>
      <c r="H50" s="26">
        <v>5</v>
      </c>
      <c r="I50" s="28">
        <v>0</v>
      </c>
      <c r="J50" s="18">
        <f>D50-E50</f>
        <v>308</v>
      </c>
    </row>
    <row r="51" spans="1:10" x14ac:dyDescent="0.35">
      <c r="A51" s="23">
        <v>49</v>
      </c>
      <c r="B51" s="27" t="s">
        <v>127</v>
      </c>
      <c r="C51" s="26">
        <v>1051</v>
      </c>
      <c r="D51" s="26">
        <v>940</v>
      </c>
      <c r="E51" s="23">
        <v>652</v>
      </c>
      <c r="F51" s="26">
        <v>214</v>
      </c>
      <c r="G51" s="26">
        <v>594</v>
      </c>
      <c r="H51" s="26">
        <v>33</v>
      </c>
      <c r="I51" s="28">
        <v>25</v>
      </c>
      <c r="J51" s="18">
        <f>D51-E51</f>
        <v>288</v>
      </c>
    </row>
    <row r="52" spans="1:10" x14ac:dyDescent="0.35">
      <c r="A52" s="26">
        <v>50</v>
      </c>
      <c r="B52" s="27" t="s">
        <v>53</v>
      </c>
      <c r="C52" s="26">
        <v>2545</v>
      </c>
      <c r="D52" s="26">
        <v>2230</v>
      </c>
      <c r="E52" s="23">
        <v>1956</v>
      </c>
      <c r="F52" s="26">
        <v>213</v>
      </c>
      <c r="G52" s="26">
        <v>1840</v>
      </c>
      <c r="H52" s="26">
        <v>103</v>
      </c>
      <c r="I52" s="28">
        <v>13</v>
      </c>
      <c r="J52" s="18">
        <f>D52-E52</f>
        <v>274</v>
      </c>
    </row>
    <row r="53" spans="1:10" x14ac:dyDescent="0.35">
      <c r="A53" s="23">
        <v>51</v>
      </c>
      <c r="B53" s="27" t="s">
        <v>93</v>
      </c>
      <c r="C53" s="26">
        <v>1128</v>
      </c>
      <c r="D53" s="26">
        <v>1042</v>
      </c>
      <c r="E53" s="23">
        <v>768</v>
      </c>
      <c r="F53" s="26">
        <v>231</v>
      </c>
      <c r="G53" s="26">
        <v>737</v>
      </c>
      <c r="H53" s="26">
        <v>24</v>
      </c>
      <c r="I53" s="28">
        <v>7</v>
      </c>
      <c r="J53" s="18">
        <f>D53-E53</f>
        <v>274</v>
      </c>
    </row>
    <row r="54" spans="1:10" x14ac:dyDescent="0.35">
      <c r="A54" s="26">
        <v>52</v>
      </c>
      <c r="B54" s="27" t="s">
        <v>260</v>
      </c>
      <c r="C54" s="26">
        <v>693</v>
      </c>
      <c r="D54" s="26">
        <v>624</v>
      </c>
      <c r="E54" s="23">
        <v>350</v>
      </c>
      <c r="F54" s="26">
        <v>265</v>
      </c>
      <c r="G54" s="26">
        <v>325</v>
      </c>
      <c r="H54" s="26">
        <v>24</v>
      </c>
      <c r="I54" s="28">
        <v>1</v>
      </c>
      <c r="J54" s="18">
        <f>D54-E54</f>
        <v>274</v>
      </c>
    </row>
    <row r="55" spans="1:10" x14ac:dyDescent="0.35">
      <c r="A55" s="23">
        <v>53</v>
      </c>
      <c r="B55" s="27" t="s">
        <v>183</v>
      </c>
      <c r="C55" s="26">
        <v>815</v>
      </c>
      <c r="D55" s="26">
        <v>708</v>
      </c>
      <c r="E55" s="23">
        <v>440</v>
      </c>
      <c r="F55" s="26">
        <v>258</v>
      </c>
      <c r="G55" s="26">
        <v>408</v>
      </c>
      <c r="H55" s="26">
        <v>32</v>
      </c>
      <c r="I55" s="28">
        <v>0</v>
      </c>
      <c r="J55" s="18">
        <f>D55-E55</f>
        <v>268</v>
      </c>
    </row>
    <row r="56" spans="1:10" x14ac:dyDescent="0.35">
      <c r="A56" s="26">
        <v>54</v>
      </c>
      <c r="B56" s="27" t="s">
        <v>275</v>
      </c>
      <c r="C56" s="26">
        <v>621</v>
      </c>
      <c r="D56" s="26">
        <v>420</v>
      </c>
      <c r="E56" s="23">
        <v>155</v>
      </c>
      <c r="F56" s="26">
        <v>214</v>
      </c>
      <c r="G56" s="26">
        <v>93</v>
      </c>
      <c r="H56" s="26">
        <v>62</v>
      </c>
      <c r="I56" s="28">
        <v>0</v>
      </c>
      <c r="J56" s="18">
        <f>D56-E56</f>
        <v>265</v>
      </c>
    </row>
    <row r="57" spans="1:10" x14ac:dyDescent="0.35">
      <c r="A57" s="23">
        <v>55</v>
      </c>
      <c r="B57" s="27" t="s">
        <v>193</v>
      </c>
      <c r="C57" s="26">
        <v>750</v>
      </c>
      <c r="D57" s="26">
        <v>581</v>
      </c>
      <c r="E57" s="23">
        <v>323</v>
      </c>
      <c r="F57" s="26">
        <v>244</v>
      </c>
      <c r="G57" s="26">
        <v>321</v>
      </c>
      <c r="H57" s="26">
        <v>2</v>
      </c>
      <c r="I57" s="28">
        <v>0</v>
      </c>
      <c r="J57" s="18">
        <f>D57-E57</f>
        <v>258</v>
      </c>
    </row>
    <row r="58" spans="1:10" x14ac:dyDescent="0.35">
      <c r="A58" s="26">
        <v>56</v>
      </c>
      <c r="B58" s="27" t="s">
        <v>219</v>
      </c>
      <c r="C58" s="26">
        <v>807</v>
      </c>
      <c r="D58" s="26">
        <v>667</v>
      </c>
      <c r="E58" s="23">
        <v>411</v>
      </c>
      <c r="F58" s="26">
        <v>195</v>
      </c>
      <c r="G58" s="26">
        <v>404</v>
      </c>
      <c r="H58" s="26">
        <v>7</v>
      </c>
      <c r="I58" s="28">
        <v>0</v>
      </c>
      <c r="J58" s="18">
        <f>D58-E58</f>
        <v>256</v>
      </c>
    </row>
    <row r="59" spans="1:10" x14ac:dyDescent="0.35">
      <c r="A59" s="23">
        <v>57</v>
      </c>
      <c r="B59" s="27" t="s">
        <v>134</v>
      </c>
      <c r="C59" s="26">
        <v>720</v>
      </c>
      <c r="D59" s="26">
        <v>637</v>
      </c>
      <c r="E59" s="23">
        <v>388</v>
      </c>
      <c r="F59" s="26">
        <v>249</v>
      </c>
      <c r="G59" s="26">
        <v>387</v>
      </c>
      <c r="H59" s="26">
        <v>1</v>
      </c>
      <c r="I59" s="28">
        <v>0</v>
      </c>
      <c r="J59" s="18">
        <f>D59-E59</f>
        <v>249</v>
      </c>
    </row>
    <row r="60" spans="1:10" x14ac:dyDescent="0.35">
      <c r="A60" s="26">
        <v>58</v>
      </c>
      <c r="B60" s="27" t="s">
        <v>242</v>
      </c>
      <c r="C60" s="26">
        <v>262</v>
      </c>
      <c r="D60" s="26">
        <v>248</v>
      </c>
      <c r="E60" s="23">
        <v>7</v>
      </c>
      <c r="F60" s="26">
        <v>215</v>
      </c>
      <c r="G60" s="26">
        <v>7</v>
      </c>
      <c r="H60" s="26">
        <v>0</v>
      </c>
      <c r="I60" s="28">
        <v>0</v>
      </c>
      <c r="J60" s="18">
        <f>D60-E60</f>
        <v>241</v>
      </c>
    </row>
    <row r="61" spans="1:10" x14ac:dyDescent="0.35">
      <c r="A61" s="23">
        <v>59</v>
      </c>
      <c r="B61" s="27" t="s">
        <v>115</v>
      </c>
      <c r="C61" s="26">
        <v>1145</v>
      </c>
      <c r="D61" s="26">
        <v>975</v>
      </c>
      <c r="E61" s="23">
        <v>743</v>
      </c>
      <c r="F61" s="26">
        <v>170</v>
      </c>
      <c r="G61" s="26">
        <v>717</v>
      </c>
      <c r="H61" s="26">
        <v>26</v>
      </c>
      <c r="I61" s="28">
        <v>0</v>
      </c>
      <c r="J61" s="18">
        <f>D61-E61</f>
        <v>232</v>
      </c>
    </row>
    <row r="62" spans="1:10" x14ac:dyDescent="0.35">
      <c r="A62" s="26">
        <v>60</v>
      </c>
      <c r="B62" s="27" t="s">
        <v>218</v>
      </c>
      <c r="C62" s="26">
        <v>1097</v>
      </c>
      <c r="D62" s="26">
        <v>781</v>
      </c>
      <c r="E62" s="23">
        <v>550</v>
      </c>
      <c r="F62" s="26">
        <v>135</v>
      </c>
      <c r="G62" s="26">
        <v>506</v>
      </c>
      <c r="H62" s="26">
        <v>44</v>
      </c>
      <c r="I62" s="28">
        <v>0</v>
      </c>
      <c r="J62" s="18">
        <f>D62-E62</f>
        <v>231</v>
      </c>
    </row>
    <row r="63" spans="1:10" x14ac:dyDescent="0.35">
      <c r="A63" s="23">
        <v>61</v>
      </c>
      <c r="B63" s="27" t="s">
        <v>87</v>
      </c>
      <c r="C63" s="26">
        <v>664</v>
      </c>
      <c r="D63" s="26">
        <v>650</v>
      </c>
      <c r="E63" s="23">
        <v>421</v>
      </c>
      <c r="F63" s="26">
        <v>229</v>
      </c>
      <c r="G63" s="26">
        <v>370</v>
      </c>
      <c r="H63" s="26">
        <v>51</v>
      </c>
      <c r="I63" s="28">
        <v>0</v>
      </c>
      <c r="J63" s="18">
        <f>D63-E63</f>
        <v>229</v>
      </c>
    </row>
    <row r="64" spans="1:10" x14ac:dyDescent="0.35">
      <c r="A64" s="26">
        <v>62</v>
      </c>
      <c r="B64" s="27" t="s">
        <v>181</v>
      </c>
      <c r="C64" s="26">
        <v>423</v>
      </c>
      <c r="D64" s="26">
        <v>423</v>
      </c>
      <c r="E64" s="23">
        <v>195</v>
      </c>
      <c r="F64" s="26">
        <v>200</v>
      </c>
      <c r="G64" s="26">
        <v>152</v>
      </c>
      <c r="H64" s="26">
        <v>43</v>
      </c>
      <c r="I64" s="28">
        <v>0</v>
      </c>
      <c r="J64" s="18">
        <f>D64-E64</f>
        <v>228</v>
      </c>
    </row>
    <row r="65" spans="1:10" x14ac:dyDescent="0.35">
      <c r="A65" s="23">
        <v>63</v>
      </c>
      <c r="B65" s="27" t="s">
        <v>276</v>
      </c>
      <c r="C65" s="26">
        <v>1094</v>
      </c>
      <c r="D65" s="26">
        <v>913</v>
      </c>
      <c r="E65" s="23">
        <v>690</v>
      </c>
      <c r="F65" s="26">
        <v>222</v>
      </c>
      <c r="G65" s="26">
        <v>678</v>
      </c>
      <c r="H65" s="26">
        <v>12</v>
      </c>
      <c r="I65" s="28">
        <v>0</v>
      </c>
      <c r="J65" s="18">
        <f>D65-E65</f>
        <v>223</v>
      </c>
    </row>
    <row r="66" spans="1:10" x14ac:dyDescent="0.35">
      <c r="A66" s="26">
        <v>64</v>
      </c>
      <c r="B66" s="27" t="s">
        <v>250</v>
      </c>
      <c r="C66" s="26">
        <v>647</v>
      </c>
      <c r="D66" s="26">
        <v>487</v>
      </c>
      <c r="E66" s="23">
        <v>268</v>
      </c>
      <c r="F66" s="26">
        <v>187</v>
      </c>
      <c r="G66" s="26">
        <v>268</v>
      </c>
      <c r="H66" s="26">
        <v>0</v>
      </c>
      <c r="I66" s="28">
        <v>0</v>
      </c>
      <c r="J66" s="18">
        <f>D66-E66</f>
        <v>219</v>
      </c>
    </row>
    <row r="67" spans="1:10" x14ac:dyDescent="0.35">
      <c r="A67" s="23">
        <v>65</v>
      </c>
      <c r="B67" s="27" t="s">
        <v>155</v>
      </c>
      <c r="C67" s="26">
        <v>524</v>
      </c>
      <c r="D67" s="26">
        <v>393</v>
      </c>
      <c r="E67" s="23">
        <v>175</v>
      </c>
      <c r="F67" s="26">
        <v>192</v>
      </c>
      <c r="G67" s="26">
        <v>162</v>
      </c>
      <c r="H67" s="26">
        <v>13</v>
      </c>
      <c r="I67" s="28">
        <v>0</v>
      </c>
      <c r="J67" s="18">
        <f>D67-E67</f>
        <v>218</v>
      </c>
    </row>
    <row r="68" spans="1:10" x14ac:dyDescent="0.35">
      <c r="A68" s="26">
        <v>66</v>
      </c>
      <c r="B68" s="27" t="s">
        <v>232</v>
      </c>
      <c r="C68" s="26">
        <v>632</v>
      </c>
      <c r="D68" s="26">
        <v>510</v>
      </c>
      <c r="E68" s="23">
        <v>302</v>
      </c>
      <c r="F68" s="26">
        <v>199</v>
      </c>
      <c r="G68" s="26">
        <v>273</v>
      </c>
      <c r="H68" s="26">
        <v>29</v>
      </c>
      <c r="I68" s="28">
        <v>0</v>
      </c>
      <c r="J68" s="18">
        <f>D68-E68</f>
        <v>208</v>
      </c>
    </row>
    <row r="69" spans="1:10" x14ac:dyDescent="0.35">
      <c r="A69" s="23">
        <v>67</v>
      </c>
      <c r="B69" s="27" t="s">
        <v>63</v>
      </c>
      <c r="C69" s="26">
        <v>841</v>
      </c>
      <c r="D69" s="26">
        <v>424</v>
      </c>
      <c r="E69" s="23">
        <v>230</v>
      </c>
      <c r="F69" s="26">
        <v>190</v>
      </c>
      <c r="G69" s="26">
        <v>212</v>
      </c>
      <c r="H69" s="26">
        <v>18</v>
      </c>
      <c r="I69" s="28">
        <v>0</v>
      </c>
      <c r="J69" s="18">
        <f>D69-E69</f>
        <v>194</v>
      </c>
    </row>
    <row r="70" spans="1:10" x14ac:dyDescent="0.35">
      <c r="A70" s="26">
        <v>68</v>
      </c>
      <c r="B70" s="27" t="s">
        <v>149</v>
      </c>
      <c r="C70" s="26">
        <v>809</v>
      </c>
      <c r="D70" s="26">
        <v>681</v>
      </c>
      <c r="E70" s="23">
        <v>488</v>
      </c>
      <c r="F70" s="26">
        <v>191</v>
      </c>
      <c r="G70" s="26">
        <v>344</v>
      </c>
      <c r="H70" s="26">
        <v>139</v>
      </c>
      <c r="I70" s="28">
        <v>5</v>
      </c>
      <c r="J70" s="18">
        <f>D70-E70</f>
        <v>193</v>
      </c>
    </row>
    <row r="71" spans="1:10" x14ac:dyDescent="0.35">
      <c r="A71" s="23">
        <v>69</v>
      </c>
      <c r="B71" s="27" t="s">
        <v>102</v>
      </c>
      <c r="C71" s="26">
        <v>916</v>
      </c>
      <c r="D71" s="26">
        <v>663</v>
      </c>
      <c r="E71" s="23">
        <v>476</v>
      </c>
      <c r="F71" s="26">
        <v>172</v>
      </c>
      <c r="G71" s="26">
        <v>438</v>
      </c>
      <c r="H71" s="26">
        <v>38</v>
      </c>
      <c r="I71" s="28">
        <v>0</v>
      </c>
      <c r="J71" s="18">
        <f>D71-E71</f>
        <v>187</v>
      </c>
    </row>
    <row r="72" spans="1:10" x14ac:dyDescent="0.35">
      <c r="A72" s="26">
        <v>70</v>
      </c>
      <c r="B72" s="27" t="s">
        <v>170</v>
      </c>
      <c r="C72" s="26">
        <v>515</v>
      </c>
      <c r="D72" s="26">
        <v>496</v>
      </c>
      <c r="E72" s="23">
        <v>311</v>
      </c>
      <c r="F72" s="26">
        <v>178</v>
      </c>
      <c r="G72" s="26">
        <v>288</v>
      </c>
      <c r="H72" s="26">
        <v>23</v>
      </c>
      <c r="I72" s="28">
        <v>0</v>
      </c>
      <c r="J72" s="18">
        <f>D72-E72</f>
        <v>185</v>
      </c>
    </row>
    <row r="73" spans="1:10" x14ac:dyDescent="0.35">
      <c r="A73" s="23">
        <v>71</v>
      </c>
      <c r="B73" s="27" t="s">
        <v>296</v>
      </c>
      <c r="C73" s="26">
        <v>504</v>
      </c>
      <c r="D73" s="26">
        <v>466</v>
      </c>
      <c r="E73" s="23">
        <v>282</v>
      </c>
      <c r="F73" s="26">
        <v>167</v>
      </c>
      <c r="G73" s="26">
        <v>280</v>
      </c>
      <c r="H73" s="26">
        <v>2</v>
      </c>
      <c r="I73" s="28">
        <v>0</v>
      </c>
      <c r="J73" s="18">
        <f>D73-E73</f>
        <v>184</v>
      </c>
    </row>
    <row r="74" spans="1:10" x14ac:dyDescent="0.35">
      <c r="A74" s="26">
        <v>72</v>
      </c>
      <c r="B74" s="27" t="s">
        <v>137</v>
      </c>
      <c r="C74" s="26">
        <v>333</v>
      </c>
      <c r="D74" s="26">
        <v>220</v>
      </c>
      <c r="E74" s="23">
        <v>37</v>
      </c>
      <c r="F74" s="26">
        <v>164</v>
      </c>
      <c r="G74" s="26">
        <v>35</v>
      </c>
      <c r="H74" s="26">
        <v>2</v>
      </c>
      <c r="I74" s="28">
        <v>0</v>
      </c>
      <c r="J74" s="18">
        <f>D74-E74</f>
        <v>183</v>
      </c>
    </row>
    <row r="75" spans="1:10" x14ac:dyDescent="0.35">
      <c r="A75" s="23">
        <v>73</v>
      </c>
      <c r="B75" s="27" t="s">
        <v>290</v>
      </c>
      <c r="C75" s="26">
        <v>543</v>
      </c>
      <c r="D75" s="26">
        <v>490</v>
      </c>
      <c r="E75" s="23">
        <v>310</v>
      </c>
      <c r="F75" s="26">
        <v>175</v>
      </c>
      <c r="G75" s="26">
        <v>309</v>
      </c>
      <c r="H75" s="26">
        <v>1</v>
      </c>
      <c r="I75" s="28">
        <v>0</v>
      </c>
      <c r="J75" s="18">
        <f>D75-E75</f>
        <v>180</v>
      </c>
    </row>
    <row r="76" spans="1:10" x14ac:dyDescent="0.35">
      <c r="A76" s="26">
        <v>74</v>
      </c>
      <c r="B76" s="27" t="s">
        <v>36</v>
      </c>
      <c r="C76" s="26">
        <v>1186</v>
      </c>
      <c r="D76" s="26">
        <v>821</v>
      </c>
      <c r="E76" s="23">
        <v>642</v>
      </c>
      <c r="F76" s="26">
        <v>176</v>
      </c>
      <c r="G76" s="26">
        <v>549</v>
      </c>
      <c r="H76" s="26">
        <v>93</v>
      </c>
      <c r="I76" s="28">
        <v>0</v>
      </c>
      <c r="J76" s="18">
        <f>D76-E76</f>
        <v>179</v>
      </c>
    </row>
    <row r="77" spans="1:10" x14ac:dyDescent="0.35">
      <c r="A77" s="23">
        <v>75</v>
      </c>
      <c r="B77" s="27" t="s">
        <v>16</v>
      </c>
      <c r="C77" s="26">
        <v>468</v>
      </c>
      <c r="D77" s="26">
        <v>291</v>
      </c>
      <c r="E77" s="23">
        <v>112</v>
      </c>
      <c r="F77" s="26">
        <v>174</v>
      </c>
      <c r="G77" s="26">
        <v>100</v>
      </c>
      <c r="H77" s="26">
        <v>12</v>
      </c>
      <c r="I77" s="28">
        <v>0</v>
      </c>
      <c r="J77" s="18">
        <f>D77-E77</f>
        <v>179</v>
      </c>
    </row>
    <row r="78" spans="1:10" x14ac:dyDescent="0.35">
      <c r="A78" s="26">
        <v>76</v>
      </c>
      <c r="B78" s="27" t="s">
        <v>168</v>
      </c>
      <c r="C78" s="26">
        <v>523</v>
      </c>
      <c r="D78" s="26">
        <v>446</v>
      </c>
      <c r="E78" s="23">
        <v>268</v>
      </c>
      <c r="F78" s="26">
        <v>173</v>
      </c>
      <c r="G78" s="26">
        <v>255</v>
      </c>
      <c r="H78" s="26">
        <v>13</v>
      </c>
      <c r="I78" s="28">
        <v>0</v>
      </c>
      <c r="J78" s="18">
        <f>D78-E78</f>
        <v>178</v>
      </c>
    </row>
    <row r="79" spans="1:10" x14ac:dyDescent="0.35">
      <c r="A79" s="23">
        <v>77</v>
      </c>
      <c r="B79" s="27" t="s">
        <v>113</v>
      </c>
      <c r="C79" s="26">
        <v>639</v>
      </c>
      <c r="D79" s="26">
        <v>554</v>
      </c>
      <c r="E79" s="23">
        <v>387</v>
      </c>
      <c r="F79" s="26">
        <v>74</v>
      </c>
      <c r="G79" s="26">
        <v>357</v>
      </c>
      <c r="H79" s="26">
        <v>19</v>
      </c>
      <c r="I79" s="28">
        <v>11</v>
      </c>
      <c r="J79" s="18">
        <f>D79-E79</f>
        <v>167</v>
      </c>
    </row>
    <row r="80" spans="1:10" x14ac:dyDescent="0.35">
      <c r="A80" s="26">
        <v>78</v>
      </c>
      <c r="B80" s="27" t="s">
        <v>283</v>
      </c>
      <c r="C80" s="26">
        <v>512</v>
      </c>
      <c r="D80" s="26">
        <v>437</v>
      </c>
      <c r="E80" s="23">
        <v>271</v>
      </c>
      <c r="F80" s="26">
        <v>159</v>
      </c>
      <c r="G80" s="26">
        <v>260</v>
      </c>
      <c r="H80" s="26">
        <v>11</v>
      </c>
      <c r="I80" s="28">
        <v>0</v>
      </c>
      <c r="J80" s="18">
        <f>D80-E80</f>
        <v>166</v>
      </c>
    </row>
    <row r="81" spans="1:10" x14ac:dyDescent="0.35">
      <c r="A81" s="23">
        <v>79</v>
      </c>
      <c r="B81" s="27" t="s">
        <v>130</v>
      </c>
      <c r="C81" s="26">
        <v>629</v>
      </c>
      <c r="D81" s="26">
        <v>440</v>
      </c>
      <c r="E81" s="23">
        <v>276</v>
      </c>
      <c r="F81" s="26">
        <v>155</v>
      </c>
      <c r="G81" s="26">
        <v>262</v>
      </c>
      <c r="H81" s="26">
        <v>14</v>
      </c>
      <c r="I81" s="28">
        <v>0</v>
      </c>
      <c r="J81" s="18">
        <f>D81-E81</f>
        <v>164</v>
      </c>
    </row>
    <row r="82" spans="1:10" x14ac:dyDescent="0.35">
      <c r="A82" s="26">
        <v>80</v>
      </c>
      <c r="B82" s="27" t="s">
        <v>221</v>
      </c>
      <c r="C82" s="26">
        <v>561</v>
      </c>
      <c r="D82" s="26">
        <v>421</v>
      </c>
      <c r="E82" s="23">
        <v>258</v>
      </c>
      <c r="F82" s="26">
        <v>155</v>
      </c>
      <c r="G82" s="26">
        <v>221</v>
      </c>
      <c r="H82" s="26">
        <v>37</v>
      </c>
      <c r="I82" s="28">
        <v>0</v>
      </c>
      <c r="J82" s="18">
        <f>D82-E82</f>
        <v>163</v>
      </c>
    </row>
    <row r="83" spans="1:10" x14ac:dyDescent="0.35">
      <c r="A83" s="23">
        <v>81</v>
      </c>
      <c r="B83" s="27" t="s">
        <v>209</v>
      </c>
      <c r="C83" s="26">
        <v>916</v>
      </c>
      <c r="D83" s="26">
        <v>811</v>
      </c>
      <c r="E83" s="23">
        <v>650</v>
      </c>
      <c r="F83" s="26">
        <v>137</v>
      </c>
      <c r="G83" s="26">
        <v>624</v>
      </c>
      <c r="H83" s="26">
        <v>26</v>
      </c>
      <c r="I83" s="28">
        <v>0</v>
      </c>
      <c r="J83" s="18">
        <f>D83-E83</f>
        <v>161</v>
      </c>
    </row>
    <row r="84" spans="1:10" x14ac:dyDescent="0.35">
      <c r="A84" s="26">
        <v>82</v>
      </c>
      <c r="B84" s="27" t="s">
        <v>280</v>
      </c>
      <c r="C84" s="26">
        <v>858</v>
      </c>
      <c r="D84" s="26">
        <v>725</v>
      </c>
      <c r="E84" s="23">
        <v>565</v>
      </c>
      <c r="F84" s="26">
        <v>154</v>
      </c>
      <c r="G84" s="26">
        <v>545</v>
      </c>
      <c r="H84" s="26">
        <v>19</v>
      </c>
      <c r="I84" s="28">
        <v>1</v>
      </c>
      <c r="J84" s="18">
        <f>D84-E84</f>
        <v>160</v>
      </c>
    </row>
    <row r="85" spans="1:10" x14ac:dyDescent="0.35">
      <c r="A85" s="23">
        <v>83</v>
      </c>
      <c r="B85" s="27" t="s">
        <v>150</v>
      </c>
      <c r="C85" s="26">
        <v>533</v>
      </c>
      <c r="D85" s="26">
        <v>460</v>
      </c>
      <c r="E85" s="23">
        <v>304</v>
      </c>
      <c r="F85" s="26">
        <v>140</v>
      </c>
      <c r="G85" s="26">
        <v>283</v>
      </c>
      <c r="H85" s="26">
        <v>21</v>
      </c>
      <c r="I85" s="28">
        <v>0</v>
      </c>
      <c r="J85" s="18">
        <f>D85-E85</f>
        <v>156</v>
      </c>
    </row>
    <row r="86" spans="1:10" x14ac:dyDescent="0.35">
      <c r="A86" s="26">
        <v>84</v>
      </c>
      <c r="B86" s="27" t="s">
        <v>174</v>
      </c>
      <c r="C86" s="26">
        <v>352</v>
      </c>
      <c r="D86" s="26">
        <v>303</v>
      </c>
      <c r="E86" s="23">
        <v>147</v>
      </c>
      <c r="F86" s="26">
        <v>137</v>
      </c>
      <c r="G86" s="26">
        <v>147</v>
      </c>
      <c r="H86" s="26">
        <v>0</v>
      </c>
      <c r="I86" s="28">
        <v>0</v>
      </c>
      <c r="J86" s="18">
        <f>D86-E86</f>
        <v>156</v>
      </c>
    </row>
    <row r="87" spans="1:10" x14ac:dyDescent="0.35">
      <c r="A87" s="23">
        <v>85</v>
      </c>
      <c r="B87" s="27" t="s">
        <v>288</v>
      </c>
      <c r="C87" s="26">
        <v>297</v>
      </c>
      <c r="D87" s="26">
        <v>232</v>
      </c>
      <c r="E87" s="23">
        <v>79</v>
      </c>
      <c r="F87" s="26">
        <v>152</v>
      </c>
      <c r="G87" s="26">
        <v>77</v>
      </c>
      <c r="H87" s="26">
        <v>2</v>
      </c>
      <c r="I87" s="28">
        <v>0</v>
      </c>
      <c r="J87" s="18">
        <f>D87-E87</f>
        <v>153</v>
      </c>
    </row>
    <row r="88" spans="1:10" x14ac:dyDescent="0.35">
      <c r="A88" s="26">
        <v>86</v>
      </c>
      <c r="B88" s="27" t="s">
        <v>106</v>
      </c>
      <c r="C88" s="26">
        <v>1254</v>
      </c>
      <c r="D88" s="26">
        <v>232</v>
      </c>
      <c r="E88" s="23">
        <v>80</v>
      </c>
      <c r="F88" s="26">
        <v>148</v>
      </c>
      <c r="G88" s="26">
        <v>76</v>
      </c>
      <c r="H88" s="26">
        <v>4</v>
      </c>
      <c r="I88" s="28">
        <v>0</v>
      </c>
      <c r="J88" s="18">
        <f>D88-E88</f>
        <v>152</v>
      </c>
    </row>
    <row r="89" spans="1:10" x14ac:dyDescent="0.35">
      <c r="A89" s="23">
        <v>87</v>
      </c>
      <c r="B89" s="27" t="s">
        <v>153</v>
      </c>
      <c r="C89" s="26">
        <v>508</v>
      </c>
      <c r="D89" s="26">
        <v>321</v>
      </c>
      <c r="E89" s="23">
        <v>172</v>
      </c>
      <c r="F89" s="26">
        <v>147</v>
      </c>
      <c r="G89" s="26">
        <v>151</v>
      </c>
      <c r="H89" s="26">
        <v>21</v>
      </c>
      <c r="I89" s="28">
        <v>0</v>
      </c>
      <c r="J89" s="18">
        <f>D89-E89</f>
        <v>149</v>
      </c>
    </row>
    <row r="90" spans="1:10" x14ac:dyDescent="0.35">
      <c r="A90" s="26">
        <v>88</v>
      </c>
      <c r="B90" s="27" t="s">
        <v>45</v>
      </c>
      <c r="C90" s="26">
        <v>409</v>
      </c>
      <c r="D90" s="26">
        <v>295</v>
      </c>
      <c r="E90" s="23">
        <v>147</v>
      </c>
      <c r="F90" s="26">
        <v>133</v>
      </c>
      <c r="G90" s="26">
        <v>142</v>
      </c>
      <c r="H90" s="26">
        <v>5</v>
      </c>
      <c r="I90" s="28">
        <v>0</v>
      </c>
      <c r="J90" s="18">
        <f>D90-E90</f>
        <v>148</v>
      </c>
    </row>
    <row r="91" spans="1:10" x14ac:dyDescent="0.35">
      <c r="A91" s="23">
        <v>89</v>
      </c>
      <c r="B91" s="27" t="s">
        <v>220</v>
      </c>
      <c r="C91" s="26">
        <v>525</v>
      </c>
      <c r="D91" s="26">
        <v>199</v>
      </c>
      <c r="E91" s="23">
        <v>52</v>
      </c>
      <c r="F91" s="26">
        <v>128</v>
      </c>
      <c r="G91" s="26">
        <v>44</v>
      </c>
      <c r="H91" s="26">
        <v>8</v>
      </c>
      <c r="I91" s="28">
        <v>0</v>
      </c>
      <c r="J91" s="18">
        <f>D91-E91</f>
        <v>147</v>
      </c>
    </row>
    <row r="92" spans="1:10" x14ac:dyDescent="0.35">
      <c r="A92" s="26">
        <v>90</v>
      </c>
      <c r="B92" s="27" t="s">
        <v>164</v>
      </c>
      <c r="C92" s="26">
        <v>524</v>
      </c>
      <c r="D92" s="26">
        <v>446</v>
      </c>
      <c r="E92" s="23">
        <v>299</v>
      </c>
      <c r="F92" s="26">
        <v>129</v>
      </c>
      <c r="G92" s="26">
        <v>281</v>
      </c>
      <c r="H92" s="26">
        <v>18</v>
      </c>
      <c r="I92" s="28">
        <v>0</v>
      </c>
      <c r="J92" s="18">
        <f>D92-E92</f>
        <v>147</v>
      </c>
    </row>
    <row r="93" spans="1:10" x14ac:dyDescent="0.35">
      <c r="A93" s="23">
        <v>91</v>
      </c>
      <c r="B93" s="27" t="s">
        <v>279</v>
      </c>
      <c r="C93" s="26">
        <v>494</v>
      </c>
      <c r="D93" s="26">
        <v>333</v>
      </c>
      <c r="E93" s="23">
        <v>187</v>
      </c>
      <c r="F93" s="26">
        <v>146</v>
      </c>
      <c r="G93" s="26">
        <v>176</v>
      </c>
      <c r="H93" s="26">
        <v>11</v>
      </c>
      <c r="I93" s="28">
        <v>0</v>
      </c>
      <c r="J93" s="18">
        <f>D93-E93</f>
        <v>146</v>
      </c>
    </row>
    <row r="94" spans="1:10" x14ac:dyDescent="0.35">
      <c r="A94" s="26">
        <v>92</v>
      </c>
      <c r="B94" s="27" t="s">
        <v>300</v>
      </c>
      <c r="C94" s="26">
        <v>202</v>
      </c>
      <c r="D94" s="26">
        <v>177</v>
      </c>
      <c r="E94" s="23">
        <v>33</v>
      </c>
      <c r="F94" s="26">
        <v>132</v>
      </c>
      <c r="G94" s="26">
        <v>28</v>
      </c>
      <c r="H94" s="26">
        <v>5</v>
      </c>
      <c r="I94" s="28">
        <v>0</v>
      </c>
      <c r="J94" s="18">
        <f>D94-E94</f>
        <v>144</v>
      </c>
    </row>
    <row r="95" spans="1:10" x14ac:dyDescent="0.35">
      <c r="A95" s="23">
        <v>93</v>
      </c>
      <c r="B95" s="27" t="s">
        <v>67</v>
      </c>
      <c r="C95" s="26">
        <v>212</v>
      </c>
      <c r="D95" s="26">
        <v>202</v>
      </c>
      <c r="E95" s="23">
        <v>58</v>
      </c>
      <c r="F95" s="26">
        <v>141</v>
      </c>
      <c r="G95" s="26">
        <v>56</v>
      </c>
      <c r="H95" s="26">
        <v>2</v>
      </c>
      <c r="I95" s="28">
        <v>0</v>
      </c>
      <c r="J95" s="18">
        <f>D95-E95</f>
        <v>144</v>
      </c>
    </row>
    <row r="96" spans="1:10" x14ac:dyDescent="0.35">
      <c r="A96" s="26">
        <v>94</v>
      </c>
      <c r="B96" s="27" t="s">
        <v>100</v>
      </c>
      <c r="C96" s="26">
        <v>400</v>
      </c>
      <c r="D96" s="26">
        <v>314</v>
      </c>
      <c r="E96" s="23">
        <v>171</v>
      </c>
      <c r="F96" s="26">
        <v>125</v>
      </c>
      <c r="G96" s="26">
        <v>131</v>
      </c>
      <c r="H96" s="26">
        <v>39</v>
      </c>
      <c r="I96" s="28">
        <v>1</v>
      </c>
      <c r="J96" s="18">
        <f>D96-E96</f>
        <v>143</v>
      </c>
    </row>
    <row r="97" spans="1:10" x14ac:dyDescent="0.35">
      <c r="A97" s="23">
        <v>95</v>
      </c>
      <c r="B97" s="27" t="s">
        <v>27</v>
      </c>
      <c r="C97" s="26">
        <v>547</v>
      </c>
      <c r="D97" s="26">
        <v>516</v>
      </c>
      <c r="E97" s="23">
        <v>375</v>
      </c>
      <c r="F97" s="26">
        <v>138</v>
      </c>
      <c r="G97" s="26">
        <v>359</v>
      </c>
      <c r="H97" s="26">
        <v>16</v>
      </c>
      <c r="I97" s="28">
        <v>0</v>
      </c>
      <c r="J97" s="18">
        <f>D97-E97</f>
        <v>141</v>
      </c>
    </row>
    <row r="98" spans="1:10" x14ac:dyDescent="0.35">
      <c r="A98" s="26">
        <v>96</v>
      </c>
      <c r="B98" s="27" t="s">
        <v>131</v>
      </c>
      <c r="C98" s="26">
        <v>545</v>
      </c>
      <c r="D98" s="26">
        <v>420</v>
      </c>
      <c r="E98" s="23">
        <v>281</v>
      </c>
      <c r="F98" s="26">
        <v>127</v>
      </c>
      <c r="G98" s="26">
        <v>235</v>
      </c>
      <c r="H98" s="26">
        <v>43</v>
      </c>
      <c r="I98" s="28">
        <v>3</v>
      </c>
      <c r="J98" s="18">
        <f>D98-E98</f>
        <v>139</v>
      </c>
    </row>
    <row r="99" spans="1:10" x14ac:dyDescent="0.35">
      <c r="A99" s="23">
        <v>97</v>
      </c>
      <c r="B99" s="27" t="s">
        <v>291</v>
      </c>
      <c r="C99" s="26">
        <v>506</v>
      </c>
      <c r="D99" s="26">
        <v>455</v>
      </c>
      <c r="E99" s="23">
        <v>319</v>
      </c>
      <c r="F99" s="26">
        <v>135</v>
      </c>
      <c r="G99" s="26">
        <v>319</v>
      </c>
      <c r="H99" s="26">
        <v>0</v>
      </c>
      <c r="I99" s="28">
        <v>0</v>
      </c>
      <c r="J99" s="18">
        <f>D99-E99</f>
        <v>136</v>
      </c>
    </row>
    <row r="100" spans="1:10" x14ac:dyDescent="0.35">
      <c r="A100" s="26">
        <v>98</v>
      </c>
      <c r="B100" s="27" t="s">
        <v>235</v>
      </c>
      <c r="C100" s="26">
        <v>951</v>
      </c>
      <c r="D100" s="26">
        <v>411</v>
      </c>
      <c r="E100" s="23">
        <v>277</v>
      </c>
      <c r="F100" s="26">
        <v>131</v>
      </c>
      <c r="G100" s="26">
        <v>270</v>
      </c>
      <c r="H100" s="26">
        <v>6</v>
      </c>
      <c r="I100" s="28">
        <v>1</v>
      </c>
      <c r="J100" s="18">
        <f>D100-E100</f>
        <v>134</v>
      </c>
    </row>
    <row r="101" spans="1:10" x14ac:dyDescent="0.35">
      <c r="A101" s="23">
        <v>99</v>
      </c>
      <c r="B101" s="27" t="s">
        <v>62</v>
      </c>
      <c r="C101" s="26">
        <v>458</v>
      </c>
      <c r="D101" s="26">
        <v>436</v>
      </c>
      <c r="E101" s="23">
        <v>308</v>
      </c>
      <c r="F101" s="26">
        <v>126</v>
      </c>
      <c r="G101" s="26">
        <v>295</v>
      </c>
      <c r="H101" s="26">
        <v>12</v>
      </c>
      <c r="I101" s="28">
        <v>1</v>
      </c>
      <c r="J101" s="18">
        <f>D101-E101</f>
        <v>128</v>
      </c>
    </row>
    <row r="102" spans="1:10" x14ac:dyDescent="0.35">
      <c r="A102" s="26">
        <v>100</v>
      </c>
      <c r="B102" s="27" t="s">
        <v>259</v>
      </c>
      <c r="C102" s="26">
        <v>929</v>
      </c>
      <c r="D102" s="26">
        <v>481</v>
      </c>
      <c r="E102" s="23">
        <v>355</v>
      </c>
      <c r="F102" s="26">
        <v>126</v>
      </c>
      <c r="G102" s="26">
        <v>274</v>
      </c>
      <c r="H102" s="26">
        <v>81</v>
      </c>
      <c r="I102" s="28">
        <v>0</v>
      </c>
      <c r="J102" s="18">
        <f>D102-E102</f>
        <v>126</v>
      </c>
    </row>
    <row r="103" spans="1:10" x14ac:dyDescent="0.35">
      <c r="A103" s="23">
        <v>101</v>
      </c>
      <c r="B103" s="27" t="s">
        <v>188</v>
      </c>
      <c r="C103" s="26">
        <v>664</v>
      </c>
      <c r="D103" s="26">
        <v>473</v>
      </c>
      <c r="E103" s="23">
        <v>349</v>
      </c>
      <c r="F103" s="26">
        <v>112</v>
      </c>
      <c r="G103" s="26">
        <v>345</v>
      </c>
      <c r="H103" s="26">
        <v>4</v>
      </c>
      <c r="I103" s="28">
        <v>0</v>
      </c>
      <c r="J103" s="18">
        <f>D103-E103</f>
        <v>124</v>
      </c>
    </row>
    <row r="104" spans="1:10" x14ac:dyDescent="0.35">
      <c r="A104" s="26">
        <v>102</v>
      </c>
      <c r="B104" s="27" t="s">
        <v>91</v>
      </c>
      <c r="C104" s="26">
        <v>611</v>
      </c>
      <c r="D104" s="26">
        <v>527</v>
      </c>
      <c r="E104" s="23">
        <v>404</v>
      </c>
      <c r="F104" s="26">
        <v>121</v>
      </c>
      <c r="G104" s="26">
        <v>404</v>
      </c>
      <c r="H104" s="26">
        <v>0</v>
      </c>
      <c r="I104" s="28">
        <v>0</v>
      </c>
      <c r="J104" s="18">
        <f>D104-E104</f>
        <v>123</v>
      </c>
    </row>
    <row r="105" spans="1:10" x14ac:dyDescent="0.35">
      <c r="A105" s="23">
        <v>103</v>
      </c>
      <c r="B105" s="27" t="s">
        <v>78</v>
      </c>
      <c r="C105" s="26">
        <v>346</v>
      </c>
      <c r="D105" s="26">
        <v>299</v>
      </c>
      <c r="E105" s="23">
        <v>176</v>
      </c>
      <c r="F105" s="26">
        <v>116</v>
      </c>
      <c r="G105" s="26">
        <v>162</v>
      </c>
      <c r="H105" s="26">
        <v>14</v>
      </c>
      <c r="I105" s="28">
        <v>0</v>
      </c>
      <c r="J105" s="18">
        <f>D105-E105</f>
        <v>123</v>
      </c>
    </row>
    <row r="106" spans="1:10" x14ac:dyDescent="0.35">
      <c r="A106" s="26">
        <v>104</v>
      </c>
      <c r="B106" s="27" t="s">
        <v>120</v>
      </c>
      <c r="C106" s="26">
        <v>326</v>
      </c>
      <c r="D106" s="26">
        <v>285</v>
      </c>
      <c r="E106" s="23">
        <v>162</v>
      </c>
      <c r="F106" s="26">
        <v>103</v>
      </c>
      <c r="G106" s="26">
        <v>157</v>
      </c>
      <c r="H106" s="26">
        <v>5</v>
      </c>
      <c r="I106" s="28">
        <v>0</v>
      </c>
      <c r="J106" s="18">
        <f>D106-E106</f>
        <v>123</v>
      </c>
    </row>
    <row r="107" spans="1:10" x14ac:dyDescent="0.35">
      <c r="A107" s="23">
        <v>105</v>
      </c>
      <c r="B107" s="27" t="s">
        <v>124</v>
      </c>
      <c r="C107" s="26">
        <v>431</v>
      </c>
      <c r="D107" s="26">
        <v>278</v>
      </c>
      <c r="E107" s="23">
        <v>156</v>
      </c>
      <c r="F107" s="26">
        <v>100</v>
      </c>
      <c r="G107" s="26">
        <v>156</v>
      </c>
      <c r="H107" s="26">
        <v>0</v>
      </c>
      <c r="I107" s="28">
        <v>0</v>
      </c>
      <c r="J107" s="18">
        <f>D107-E107</f>
        <v>122</v>
      </c>
    </row>
    <row r="108" spans="1:10" x14ac:dyDescent="0.35">
      <c r="A108" s="26">
        <v>106</v>
      </c>
      <c r="B108" s="27" t="s">
        <v>196</v>
      </c>
      <c r="C108" s="26">
        <v>619</v>
      </c>
      <c r="D108" s="26">
        <v>458</v>
      </c>
      <c r="E108" s="23">
        <v>337</v>
      </c>
      <c r="F108" s="26">
        <v>119</v>
      </c>
      <c r="G108" s="26">
        <v>314</v>
      </c>
      <c r="H108" s="26">
        <v>23</v>
      </c>
      <c r="I108" s="28">
        <v>0</v>
      </c>
      <c r="J108" s="18">
        <f>D108-E108</f>
        <v>121</v>
      </c>
    </row>
    <row r="109" spans="1:10" x14ac:dyDescent="0.35">
      <c r="A109" s="23">
        <v>107</v>
      </c>
      <c r="B109" s="27" t="s">
        <v>305</v>
      </c>
      <c r="C109" s="26">
        <v>312</v>
      </c>
      <c r="D109" s="26">
        <v>309</v>
      </c>
      <c r="E109" s="23">
        <v>189</v>
      </c>
      <c r="F109" s="26">
        <v>120</v>
      </c>
      <c r="G109" s="26">
        <v>164</v>
      </c>
      <c r="H109" s="26">
        <v>25</v>
      </c>
      <c r="I109" s="28">
        <v>0</v>
      </c>
      <c r="J109" s="18">
        <f>D109-E109</f>
        <v>120</v>
      </c>
    </row>
    <row r="110" spans="1:10" x14ac:dyDescent="0.35">
      <c r="A110" s="26">
        <v>108</v>
      </c>
      <c r="B110" s="27" t="s">
        <v>11</v>
      </c>
      <c r="C110" s="26">
        <v>604</v>
      </c>
      <c r="D110" s="26">
        <v>356</v>
      </c>
      <c r="E110" s="23">
        <v>237</v>
      </c>
      <c r="F110" s="26">
        <v>119</v>
      </c>
      <c r="G110" s="26">
        <v>223</v>
      </c>
      <c r="H110" s="26">
        <v>14</v>
      </c>
      <c r="I110" s="28">
        <v>0</v>
      </c>
      <c r="J110" s="18">
        <f>D110-E110</f>
        <v>119</v>
      </c>
    </row>
    <row r="111" spans="1:10" x14ac:dyDescent="0.35">
      <c r="A111" s="23">
        <v>109</v>
      </c>
      <c r="B111" s="27" t="s">
        <v>282</v>
      </c>
      <c r="C111" s="26">
        <v>400</v>
      </c>
      <c r="D111" s="26">
        <v>294</v>
      </c>
      <c r="E111" s="23">
        <v>175</v>
      </c>
      <c r="F111" s="26">
        <v>76</v>
      </c>
      <c r="G111" s="26">
        <v>164</v>
      </c>
      <c r="H111" s="26">
        <v>11</v>
      </c>
      <c r="I111" s="28">
        <v>0</v>
      </c>
      <c r="J111" s="18">
        <f>D111-E111</f>
        <v>119</v>
      </c>
    </row>
    <row r="112" spans="1:10" x14ac:dyDescent="0.35">
      <c r="A112" s="26">
        <v>110</v>
      </c>
      <c r="B112" s="27" t="s">
        <v>176</v>
      </c>
      <c r="C112" s="26">
        <v>329</v>
      </c>
      <c r="D112" s="26">
        <v>272</v>
      </c>
      <c r="E112" s="23">
        <v>153</v>
      </c>
      <c r="F112" s="26">
        <v>118</v>
      </c>
      <c r="G112" s="26">
        <v>116</v>
      </c>
      <c r="H112" s="26">
        <v>37</v>
      </c>
      <c r="I112" s="28">
        <v>0</v>
      </c>
      <c r="J112" s="18">
        <f>D112-E112</f>
        <v>119</v>
      </c>
    </row>
    <row r="113" spans="1:10" x14ac:dyDescent="0.35">
      <c r="A113" s="23">
        <v>111</v>
      </c>
      <c r="B113" s="27" t="s">
        <v>59</v>
      </c>
      <c r="C113" s="26">
        <v>650</v>
      </c>
      <c r="D113" s="26">
        <v>501</v>
      </c>
      <c r="E113" s="23">
        <v>383</v>
      </c>
      <c r="F113" s="26">
        <v>52</v>
      </c>
      <c r="G113" s="26">
        <v>330</v>
      </c>
      <c r="H113" s="26">
        <v>53</v>
      </c>
      <c r="I113" s="28">
        <v>0</v>
      </c>
      <c r="J113" s="18">
        <f>D113-E113</f>
        <v>118</v>
      </c>
    </row>
    <row r="114" spans="1:10" x14ac:dyDescent="0.35">
      <c r="A114" s="26">
        <v>112</v>
      </c>
      <c r="B114" s="27" t="s">
        <v>284</v>
      </c>
      <c r="C114" s="26">
        <v>659</v>
      </c>
      <c r="D114" s="26">
        <v>586</v>
      </c>
      <c r="E114" s="23">
        <v>470</v>
      </c>
      <c r="F114" s="26">
        <v>108</v>
      </c>
      <c r="G114" s="26">
        <v>437</v>
      </c>
      <c r="H114" s="26">
        <v>31</v>
      </c>
      <c r="I114" s="28">
        <v>2</v>
      </c>
      <c r="J114" s="18">
        <f>D114-E114</f>
        <v>116</v>
      </c>
    </row>
    <row r="115" spans="1:10" x14ac:dyDescent="0.35">
      <c r="A115" s="23">
        <v>113</v>
      </c>
      <c r="B115" s="27" t="s">
        <v>69</v>
      </c>
      <c r="C115" s="26">
        <v>690</v>
      </c>
      <c r="D115" s="26">
        <v>574</v>
      </c>
      <c r="E115" s="23">
        <v>459</v>
      </c>
      <c r="F115" s="26">
        <v>71</v>
      </c>
      <c r="G115" s="26">
        <v>441</v>
      </c>
      <c r="H115" s="26">
        <v>11</v>
      </c>
      <c r="I115" s="28">
        <v>7</v>
      </c>
      <c r="J115" s="18">
        <f>D115-E115</f>
        <v>115</v>
      </c>
    </row>
    <row r="116" spans="1:10" x14ac:dyDescent="0.35">
      <c r="A116" s="26">
        <v>114</v>
      </c>
      <c r="B116" s="27" t="s">
        <v>46</v>
      </c>
      <c r="C116" s="26">
        <v>316</v>
      </c>
      <c r="D116" s="26">
        <v>304</v>
      </c>
      <c r="E116" s="23">
        <v>189</v>
      </c>
      <c r="F116" s="26">
        <v>75</v>
      </c>
      <c r="G116" s="26">
        <v>189</v>
      </c>
      <c r="H116" s="26">
        <v>0</v>
      </c>
      <c r="I116" s="28">
        <v>0</v>
      </c>
      <c r="J116" s="18">
        <f>D116-E116</f>
        <v>115</v>
      </c>
    </row>
    <row r="117" spans="1:10" x14ac:dyDescent="0.35">
      <c r="A117" s="23">
        <v>115</v>
      </c>
      <c r="B117" s="27" t="s">
        <v>68</v>
      </c>
      <c r="C117" s="26">
        <v>168</v>
      </c>
      <c r="D117" s="26">
        <v>145</v>
      </c>
      <c r="E117" s="23">
        <v>33</v>
      </c>
      <c r="F117" s="26">
        <v>101</v>
      </c>
      <c r="G117" s="26">
        <v>33</v>
      </c>
      <c r="H117" s="26">
        <v>0</v>
      </c>
      <c r="I117" s="28">
        <v>0</v>
      </c>
      <c r="J117" s="18">
        <f>D117-E117</f>
        <v>112</v>
      </c>
    </row>
    <row r="118" spans="1:10" x14ac:dyDescent="0.35">
      <c r="A118" s="26">
        <v>116</v>
      </c>
      <c r="B118" s="27" t="s">
        <v>241</v>
      </c>
      <c r="C118" s="26">
        <v>187</v>
      </c>
      <c r="D118" s="26">
        <v>178</v>
      </c>
      <c r="E118" s="23">
        <v>69</v>
      </c>
      <c r="F118" s="26">
        <v>106</v>
      </c>
      <c r="G118" s="26">
        <v>69</v>
      </c>
      <c r="H118" s="26">
        <v>0</v>
      </c>
      <c r="I118" s="28">
        <v>0</v>
      </c>
      <c r="J118" s="18">
        <f>D118-E118</f>
        <v>109</v>
      </c>
    </row>
    <row r="119" spans="1:10" x14ac:dyDescent="0.35">
      <c r="A119" s="23">
        <v>117</v>
      </c>
      <c r="B119" s="27" t="s">
        <v>167</v>
      </c>
      <c r="C119" s="26">
        <v>445</v>
      </c>
      <c r="D119" s="26">
        <v>233</v>
      </c>
      <c r="E119" s="23">
        <v>126</v>
      </c>
      <c r="F119" s="26">
        <v>104</v>
      </c>
      <c r="G119" s="26">
        <v>111</v>
      </c>
      <c r="H119" s="26">
        <v>15</v>
      </c>
      <c r="I119" s="28">
        <v>0</v>
      </c>
      <c r="J119" s="18">
        <f>D119-E119</f>
        <v>107</v>
      </c>
    </row>
    <row r="120" spans="1:10" x14ac:dyDescent="0.35">
      <c r="A120" s="26">
        <v>118</v>
      </c>
      <c r="B120" s="27" t="s">
        <v>286</v>
      </c>
      <c r="C120" s="26">
        <v>529</v>
      </c>
      <c r="D120" s="26">
        <v>458</v>
      </c>
      <c r="E120" s="23">
        <v>353</v>
      </c>
      <c r="F120" s="26">
        <v>104</v>
      </c>
      <c r="G120" s="26">
        <v>353</v>
      </c>
      <c r="H120" s="26">
        <v>0</v>
      </c>
      <c r="I120" s="28">
        <v>0</v>
      </c>
      <c r="J120" s="18">
        <f>D120-E120</f>
        <v>105</v>
      </c>
    </row>
    <row r="121" spans="1:10" x14ac:dyDescent="0.35">
      <c r="A121" s="23">
        <v>119</v>
      </c>
      <c r="B121" s="27" t="s">
        <v>25</v>
      </c>
      <c r="C121" s="26">
        <v>458</v>
      </c>
      <c r="D121" s="26">
        <v>398</v>
      </c>
      <c r="E121" s="23">
        <v>293</v>
      </c>
      <c r="F121" s="26">
        <v>94</v>
      </c>
      <c r="G121" s="26">
        <v>273</v>
      </c>
      <c r="H121" s="26">
        <v>20</v>
      </c>
      <c r="I121" s="28">
        <v>0</v>
      </c>
      <c r="J121" s="18">
        <f>D121-E121</f>
        <v>105</v>
      </c>
    </row>
    <row r="122" spans="1:10" x14ac:dyDescent="0.35">
      <c r="A122" s="26">
        <v>120</v>
      </c>
      <c r="B122" s="27" t="s">
        <v>104</v>
      </c>
      <c r="C122" s="26">
        <v>2023</v>
      </c>
      <c r="D122" s="26">
        <v>600</v>
      </c>
      <c r="E122" s="23">
        <v>497</v>
      </c>
      <c r="F122" s="26">
        <v>48</v>
      </c>
      <c r="G122" s="26">
        <v>493</v>
      </c>
      <c r="H122" s="26">
        <v>4</v>
      </c>
      <c r="I122" s="28">
        <v>0</v>
      </c>
      <c r="J122" s="18">
        <f>D122-E122</f>
        <v>103</v>
      </c>
    </row>
    <row r="123" spans="1:10" x14ac:dyDescent="0.35">
      <c r="A123" s="23">
        <v>121</v>
      </c>
      <c r="B123" s="27" t="s">
        <v>231</v>
      </c>
      <c r="C123" s="26">
        <v>245</v>
      </c>
      <c r="D123" s="26">
        <v>191</v>
      </c>
      <c r="E123" s="23">
        <v>88</v>
      </c>
      <c r="F123" s="26">
        <v>102</v>
      </c>
      <c r="G123" s="26">
        <v>80</v>
      </c>
      <c r="H123" s="26">
        <v>8</v>
      </c>
      <c r="I123" s="28">
        <v>0</v>
      </c>
      <c r="J123" s="18">
        <f>D123-E123</f>
        <v>103</v>
      </c>
    </row>
    <row r="124" spans="1:10" x14ac:dyDescent="0.35">
      <c r="A124" s="26">
        <v>122</v>
      </c>
      <c r="B124" s="27" t="s">
        <v>111</v>
      </c>
      <c r="C124" s="26">
        <v>160</v>
      </c>
      <c r="D124" s="26">
        <v>160</v>
      </c>
      <c r="E124" s="23">
        <v>59</v>
      </c>
      <c r="F124" s="26">
        <v>85</v>
      </c>
      <c r="G124" s="26">
        <v>52</v>
      </c>
      <c r="H124" s="26">
        <v>7</v>
      </c>
      <c r="I124" s="28">
        <v>0</v>
      </c>
      <c r="J124" s="18">
        <f>D124-E124</f>
        <v>101</v>
      </c>
    </row>
    <row r="125" spans="1:10" x14ac:dyDescent="0.35">
      <c r="A125" s="23">
        <v>123</v>
      </c>
      <c r="B125" s="27" t="s">
        <v>293</v>
      </c>
      <c r="C125" s="26">
        <v>233</v>
      </c>
      <c r="D125" s="26">
        <v>185</v>
      </c>
      <c r="E125" s="23">
        <v>88</v>
      </c>
      <c r="F125" s="26">
        <v>93</v>
      </c>
      <c r="G125" s="26">
        <v>88</v>
      </c>
      <c r="H125" s="26">
        <v>0</v>
      </c>
      <c r="I125" s="28">
        <v>0</v>
      </c>
      <c r="J125" s="18">
        <f>D125-E125</f>
        <v>97</v>
      </c>
    </row>
    <row r="126" spans="1:10" x14ac:dyDescent="0.35">
      <c r="A126" s="26">
        <v>124</v>
      </c>
      <c r="B126" s="27" t="s">
        <v>182</v>
      </c>
      <c r="C126" s="26">
        <v>307</v>
      </c>
      <c r="D126" s="26">
        <v>268</v>
      </c>
      <c r="E126" s="23">
        <v>171</v>
      </c>
      <c r="F126" s="26">
        <v>86</v>
      </c>
      <c r="G126" s="26">
        <v>160</v>
      </c>
      <c r="H126" s="26">
        <v>1</v>
      </c>
      <c r="I126" s="28">
        <v>10</v>
      </c>
      <c r="J126" s="18">
        <f>D126-E126</f>
        <v>97</v>
      </c>
    </row>
    <row r="127" spans="1:10" x14ac:dyDescent="0.35">
      <c r="A127" s="23">
        <v>125</v>
      </c>
      <c r="B127" s="27" t="s">
        <v>114</v>
      </c>
      <c r="C127" s="26">
        <v>2417</v>
      </c>
      <c r="D127" s="26">
        <v>619</v>
      </c>
      <c r="E127" s="23">
        <v>523</v>
      </c>
      <c r="F127" s="26">
        <v>96</v>
      </c>
      <c r="G127" s="26">
        <v>497</v>
      </c>
      <c r="H127" s="26">
        <v>25</v>
      </c>
      <c r="I127" s="28">
        <v>1</v>
      </c>
      <c r="J127" s="18">
        <f>D127-E127</f>
        <v>96</v>
      </c>
    </row>
    <row r="128" spans="1:10" x14ac:dyDescent="0.35">
      <c r="A128" s="26">
        <v>126</v>
      </c>
      <c r="B128" s="27" t="s">
        <v>141</v>
      </c>
      <c r="C128" s="26">
        <v>572</v>
      </c>
      <c r="D128" s="26">
        <v>519</v>
      </c>
      <c r="E128" s="23">
        <v>424</v>
      </c>
      <c r="F128" s="26">
        <v>88</v>
      </c>
      <c r="G128" s="26">
        <v>405</v>
      </c>
      <c r="H128" s="26">
        <v>19</v>
      </c>
      <c r="I128" s="28">
        <v>0</v>
      </c>
      <c r="J128" s="18">
        <f>D128-E128</f>
        <v>95</v>
      </c>
    </row>
    <row r="129" spans="1:10" x14ac:dyDescent="0.35">
      <c r="A129" s="23">
        <v>127</v>
      </c>
      <c r="B129" s="27" t="s">
        <v>271</v>
      </c>
      <c r="C129" s="26">
        <v>889</v>
      </c>
      <c r="D129" s="26">
        <v>249</v>
      </c>
      <c r="E129" s="23">
        <v>156</v>
      </c>
      <c r="F129" s="26">
        <v>86</v>
      </c>
      <c r="G129" s="26">
        <v>109</v>
      </c>
      <c r="H129" s="26">
        <v>46</v>
      </c>
      <c r="I129" s="28">
        <v>1</v>
      </c>
      <c r="J129" s="18">
        <f>D129-E129</f>
        <v>93</v>
      </c>
    </row>
    <row r="130" spans="1:10" x14ac:dyDescent="0.35">
      <c r="A130" s="26">
        <v>128</v>
      </c>
      <c r="B130" s="27" t="s">
        <v>97</v>
      </c>
      <c r="C130" s="26">
        <v>363</v>
      </c>
      <c r="D130" s="26">
        <v>333</v>
      </c>
      <c r="E130" s="23">
        <v>240</v>
      </c>
      <c r="F130" s="26">
        <v>76</v>
      </c>
      <c r="G130" s="26">
        <v>232</v>
      </c>
      <c r="H130" s="26">
        <v>8</v>
      </c>
      <c r="I130" s="28">
        <v>0</v>
      </c>
      <c r="J130" s="18">
        <f>D130-E130</f>
        <v>93</v>
      </c>
    </row>
    <row r="131" spans="1:10" x14ac:dyDescent="0.35">
      <c r="A131" s="23">
        <v>129</v>
      </c>
      <c r="B131" s="27" t="s">
        <v>28</v>
      </c>
      <c r="C131" s="26">
        <v>745</v>
      </c>
      <c r="D131" s="26">
        <v>602</v>
      </c>
      <c r="E131" s="23">
        <v>510</v>
      </c>
      <c r="F131" s="26">
        <v>89</v>
      </c>
      <c r="G131" s="26">
        <v>371</v>
      </c>
      <c r="H131" s="26">
        <v>139</v>
      </c>
      <c r="I131" s="28">
        <v>0</v>
      </c>
      <c r="J131" s="18">
        <f>D131-E131</f>
        <v>92</v>
      </c>
    </row>
    <row r="132" spans="1:10" x14ac:dyDescent="0.35">
      <c r="A132" s="26">
        <v>130</v>
      </c>
      <c r="B132" s="27" t="s">
        <v>186</v>
      </c>
      <c r="C132" s="26">
        <v>347</v>
      </c>
      <c r="D132" s="26">
        <v>240</v>
      </c>
      <c r="E132" s="23">
        <v>148</v>
      </c>
      <c r="F132" s="26">
        <v>90</v>
      </c>
      <c r="G132" s="26">
        <v>148</v>
      </c>
      <c r="H132" s="26">
        <v>0</v>
      </c>
      <c r="I132" s="28">
        <v>0</v>
      </c>
      <c r="J132" s="18">
        <f>D132-E132</f>
        <v>92</v>
      </c>
    </row>
    <row r="133" spans="1:10" x14ac:dyDescent="0.35">
      <c r="A133" s="23">
        <v>131</v>
      </c>
      <c r="B133" s="27" t="s">
        <v>225</v>
      </c>
      <c r="C133" s="26">
        <v>494</v>
      </c>
      <c r="D133" s="26">
        <v>411</v>
      </c>
      <c r="E133" s="23">
        <v>320</v>
      </c>
      <c r="F133" s="26">
        <v>90</v>
      </c>
      <c r="G133" s="26">
        <v>308</v>
      </c>
      <c r="H133" s="26">
        <v>12</v>
      </c>
      <c r="I133" s="28">
        <v>0</v>
      </c>
      <c r="J133" s="18">
        <f>D133-E133</f>
        <v>91</v>
      </c>
    </row>
    <row r="134" spans="1:10" x14ac:dyDescent="0.35">
      <c r="A134" s="26">
        <v>132</v>
      </c>
      <c r="B134" s="27" t="s">
        <v>143</v>
      </c>
      <c r="C134" s="26">
        <v>648</v>
      </c>
      <c r="D134" s="26">
        <v>472</v>
      </c>
      <c r="E134" s="23">
        <v>384</v>
      </c>
      <c r="F134" s="26">
        <v>80</v>
      </c>
      <c r="G134" s="26">
        <v>321</v>
      </c>
      <c r="H134" s="26">
        <v>63</v>
      </c>
      <c r="I134" s="28">
        <v>0</v>
      </c>
      <c r="J134" s="18">
        <f>D134-E134</f>
        <v>88</v>
      </c>
    </row>
    <row r="135" spans="1:10" x14ac:dyDescent="0.35">
      <c r="A135" s="23">
        <v>133</v>
      </c>
      <c r="B135" s="27" t="s">
        <v>159</v>
      </c>
      <c r="C135" s="26">
        <v>179</v>
      </c>
      <c r="D135" s="26">
        <v>117</v>
      </c>
      <c r="E135" s="23">
        <v>29</v>
      </c>
      <c r="F135" s="26">
        <v>88</v>
      </c>
      <c r="G135" s="26">
        <v>28</v>
      </c>
      <c r="H135" s="26">
        <v>1</v>
      </c>
      <c r="I135" s="28">
        <v>0</v>
      </c>
      <c r="J135" s="18">
        <f>D135-E135</f>
        <v>88</v>
      </c>
    </row>
    <row r="136" spans="1:10" x14ac:dyDescent="0.35">
      <c r="A136" s="26">
        <v>134</v>
      </c>
      <c r="B136" s="27" t="s">
        <v>112</v>
      </c>
      <c r="C136" s="26">
        <v>358</v>
      </c>
      <c r="D136" s="26">
        <v>256</v>
      </c>
      <c r="E136" s="23">
        <v>169</v>
      </c>
      <c r="F136" s="26">
        <v>55</v>
      </c>
      <c r="G136" s="26">
        <v>134</v>
      </c>
      <c r="H136" s="26">
        <v>35</v>
      </c>
      <c r="I136" s="28">
        <v>0</v>
      </c>
      <c r="J136" s="18">
        <f>D136-E136</f>
        <v>87</v>
      </c>
    </row>
    <row r="137" spans="1:10" x14ac:dyDescent="0.35">
      <c r="A137" s="23">
        <v>135</v>
      </c>
      <c r="B137" s="27" t="s">
        <v>201</v>
      </c>
      <c r="C137" s="26">
        <v>154</v>
      </c>
      <c r="D137" s="26">
        <v>125</v>
      </c>
      <c r="E137" s="23">
        <v>38</v>
      </c>
      <c r="F137" s="26">
        <v>78</v>
      </c>
      <c r="G137" s="26">
        <v>38</v>
      </c>
      <c r="H137" s="26">
        <v>0</v>
      </c>
      <c r="I137" s="28">
        <v>0</v>
      </c>
      <c r="J137" s="18">
        <f>D137-E137</f>
        <v>87</v>
      </c>
    </row>
    <row r="138" spans="1:10" x14ac:dyDescent="0.35">
      <c r="A138" s="26">
        <v>136</v>
      </c>
      <c r="B138" s="27" t="s">
        <v>294</v>
      </c>
      <c r="C138" s="26">
        <v>348</v>
      </c>
      <c r="D138" s="26">
        <v>305</v>
      </c>
      <c r="E138" s="23">
        <v>219</v>
      </c>
      <c r="F138" s="26">
        <v>73</v>
      </c>
      <c r="G138" s="26">
        <v>206</v>
      </c>
      <c r="H138" s="26">
        <v>13</v>
      </c>
      <c r="I138" s="28">
        <v>0</v>
      </c>
      <c r="J138" s="18">
        <f>D138-E138</f>
        <v>86</v>
      </c>
    </row>
    <row r="139" spans="1:10" x14ac:dyDescent="0.35">
      <c r="A139" s="23">
        <v>137</v>
      </c>
      <c r="B139" s="27" t="s">
        <v>238</v>
      </c>
      <c r="C139" s="26">
        <v>1416</v>
      </c>
      <c r="D139" s="26">
        <v>307</v>
      </c>
      <c r="E139" s="23">
        <v>223</v>
      </c>
      <c r="F139" s="26">
        <v>61</v>
      </c>
      <c r="G139" s="26">
        <v>210</v>
      </c>
      <c r="H139" s="26">
        <v>13</v>
      </c>
      <c r="I139" s="28">
        <v>0</v>
      </c>
      <c r="J139" s="18">
        <f>D139-E139</f>
        <v>84</v>
      </c>
    </row>
    <row r="140" spans="1:10" x14ac:dyDescent="0.35">
      <c r="A140" s="26">
        <v>138</v>
      </c>
      <c r="B140" s="27" t="s">
        <v>295</v>
      </c>
      <c r="C140" s="26">
        <v>317</v>
      </c>
      <c r="D140" s="26">
        <v>279</v>
      </c>
      <c r="E140" s="23">
        <v>195</v>
      </c>
      <c r="F140" s="26">
        <v>75</v>
      </c>
      <c r="G140" s="26">
        <v>195</v>
      </c>
      <c r="H140" s="26">
        <v>0</v>
      </c>
      <c r="I140" s="28">
        <v>0</v>
      </c>
      <c r="J140" s="18">
        <f>D140-E140</f>
        <v>84</v>
      </c>
    </row>
    <row r="141" spans="1:10" x14ac:dyDescent="0.35">
      <c r="A141" s="23">
        <v>139</v>
      </c>
      <c r="B141" s="27" t="s">
        <v>246</v>
      </c>
      <c r="C141" s="26">
        <v>201</v>
      </c>
      <c r="D141" s="26">
        <v>162</v>
      </c>
      <c r="E141" s="23">
        <v>79</v>
      </c>
      <c r="F141" s="26">
        <v>39</v>
      </c>
      <c r="G141" s="26">
        <v>77</v>
      </c>
      <c r="H141" s="26">
        <v>2</v>
      </c>
      <c r="I141" s="28">
        <v>0</v>
      </c>
      <c r="J141" s="18">
        <f>D141-E141</f>
        <v>83</v>
      </c>
    </row>
    <row r="142" spans="1:10" x14ac:dyDescent="0.35">
      <c r="A142" s="26">
        <v>140</v>
      </c>
      <c r="B142" s="27" t="s">
        <v>249</v>
      </c>
      <c r="C142" s="26">
        <v>236</v>
      </c>
      <c r="D142" s="26">
        <v>156</v>
      </c>
      <c r="E142" s="23">
        <v>75</v>
      </c>
      <c r="F142" s="26">
        <v>79</v>
      </c>
      <c r="G142" s="26">
        <v>74</v>
      </c>
      <c r="H142" s="26">
        <v>1</v>
      </c>
      <c r="I142" s="28">
        <v>0</v>
      </c>
      <c r="J142" s="18">
        <f>D142-E142</f>
        <v>81</v>
      </c>
    </row>
    <row r="143" spans="1:10" x14ac:dyDescent="0.35">
      <c r="A143" s="23">
        <v>141</v>
      </c>
      <c r="B143" s="27" t="s">
        <v>89</v>
      </c>
      <c r="C143" s="26">
        <v>228</v>
      </c>
      <c r="D143" s="26">
        <v>212</v>
      </c>
      <c r="E143" s="23">
        <v>131</v>
      </c>
      <c r="F143" s="26">
        <v>81</v>
      </c>
      <c r="G143" s="26">
        <v>110</v>
      </c>
      <c r="H143" s="26">
        <v>21</v>
      </c>
      <c r="I143" s="28">
        <v>0</v>
      </c>
      <c r="J143" s="18">
        <f>D143-E143</f>
        <v>81</v>
      </c>
    </row>
    <row r="144" spans="1:10" x14ac:dyDescent="0.35">
      <c r="A144" s="26">
        <v>142</v>
      </c>
      <c r="B144" s="27" t="s">
        <v>48</v>
      </c>
      <c r="C144" s="26">
        <v>792</v>
      </c>
      <c r="D144" s="26">
        <v>535</v>
      </c>
      <c r="E144" s="23">
        <v>455</v>
      </c>
      <c r="F144" s="26">
        <v>68</v>
      </c>
      <c r="G144" s="26">
        <v>408</v>
      </c>
      <c r="H144" s="26">
        <v>47</v>
      </c>
      <c r="I144" s="28">
        <v>0</v>
      </c>
      <c r="J144" s="18">
        <f>D144-E144</f>
        <v>80</v>
      </c>
    </row>
    <row r="145" spans="1:10" x14ac:dyDescent="0.35">
      <c r="A145" s="23">
        <v>143</v>
      </c>
      <c r="B145" s="27" t="s">
        <v>285</v>
      </c>
      <c r="C145" s="26">
        <v>453</v>
      </c>
      <c r="D145" s="26">
        <v>381</v>
      </c>
      <c r="E145" s="23">
        <v>301</v>
      </c>
      <c r="F145" s="26">
        <v>68</v>
      </c>
      <c r="G145" s="26">
        <v>301</v>
      </c>
      <c r="H145" s="26">
        <v>0</v>
      </c>
      <c r="I145" s="28">
        <v>0</v>
      </c>
      <c r="J145" s="18">
        <f>D145-E145</f>
        <v>80</v>
      </c>
    </row>
    <row r="146" spans="1:10" x14ac:dyDescent="0.35">
      <c r="A146" s="26">
        <v>144</v>
      </c>
      <c r="B146" s="27" t="s">
        <v>2</v>
      </c>
      <c r="C146" s="26">
        <v>207</v>
      </c>
      <c r="D146" s="26">
        <v>106</v>
      </c>
      <c r="E146" s="23">
        <v>27</v>
      </c>
      <c r="F146" s="26">
        <v>79</v>
      </c>
      <c r="G146" s="26">
        <v>26</v>
      </c>
      <c r="H146" s="26">
        <v>1</v>
      </c>
      <c r="I146" s="28">
        <v>0</v>
      </c>
      <c r="J146" s="18">
        <f>D146-E146</f>
        <v>79</v>
      </c>
    </row>
    <row r="147" spans="1:10" x14ac:dyDescent="0.35">
      <c r="A147" s="23">
        <v>145</v>
      </c>
      <c r="B147" s="27" t="s">
        <v>144</v>
      </c>
      <c r="C147" s="26">
        <v>399</v>
      </c>
      <c r="D147" s="26">
        <v>371</v>
      </c>
      <c r="E147" s="23">
        <v>293</v>
      </c>
      <c r="F147" s="26">
        <v>78</v>
      </c>
      <c r="G147" s="26">
        <v>293</v>
      </c>
      <c r="H147" s="26">
        <v>0</v>
      </c>
      <c r="I147" s="28">
        <v>0</v>
      </c>
      <c r="J147" s="18">
        <f>D147-E147</f>
        <v>78</v>
      </c>
    </row>
    <row r="148" spans="1:10" x14ac:dyDescent="0.35">
      <c r="A148" s="26">
        <v>146</v>
      </c>
      <c r="B148" s="27" t="s">
        <v>90</v>
      </c>
      <c r="C148" s="26">
        <v>148</v>
      </c>
      <c r="D148" s="26">
        <v>112</v>
      </c>
      <c r="E148" s="23">
        <v>36</v>
      </c>
      <c r="F148" s="26">
        <v>76</v>
      </c>
      <c r="G148" s="26">
        <v>36</v>
      </c>
      <c r="H148" s="26">
        <v>0</v>
      </c>
      <c r="I148" s="28">
        <v>0</v>
      </c>
      <c r="J148" s="18">
        <f>D148-E148</f>
        <v>76</v>
      </c>
    </row>
    <row r="149" spans="1:10" x14ac:dyDescent="0.35">
      <c r="A149" s="23">
        <v>147</v>
      </c>
      <c r="B149" s="27" t="s">
        <v>14</v>
      </c>
      <c r="C149" s="26">
        <v>283</v>
      </c>
      <c r="D149" s="26">
        <v>139</v>
      </c>
      <c r="E149" s="23">
        <v>65</v>
      </c>
      <c r="F149" s="26">
        <v>74</v>
      </c>
      <c r="G149" s="26">
        <v>63</v>
      </c>
      <c r="H149" s="26">
        <v>2</v>
      </c>
      <c r="I149" s="28">
        <v>0</v>
      </c>
      <c r="J149" s="18">
        <f>D149-E149</f>
        <v>74</v>
      </c>
    </row>
    <row r="150" spans="1:10" x14ac:dyDescent="0.35">
      <c r="A150" s="26">
        <v>148</v>
      </c>
      <c r="B150" s="27" t="s">
        <v>227</v>
      </c>
      <c r="C150" s="26">
        <v>277</v>
      </c>
      <c r="D150" s="26">
        <v>198</v>
      </c>
      <c r="E150" s="23">
        <v>124</v>
      </c>
      <c r="F150" s="26">
        <v>60</v>
      </c>
      <c r="G150" s="26">
        <v>101</v>
      </c>
      <c r="H150" s="26">
        <v>23</v>
      </c>
      <c r="I150" s="28">
        <v>0</v>
      </c>
      <c r="J150" s="18">
        <f>D150-E150</f>
        <v>74</v>
      </c>
    </row>
    <row r="151" spans="1:10" x14ac:dyDescent="0.35">
      <c r="A151" s="23">
        <v>149</v>
      </c>
      <c r="B151" s="27" t="s">
        <v>185</v>
      </c>
      <c r="C151" s="26">
        <v>1397</v>
      </c>
      <c r="D151" s="26">
        <v>228</v>
      </c>
      <c r="E151" s="23">
        <v>156</v>
      </c>
      <c r="F151" s="26">
        <v>66</v>
      </c>
      <c r="G151" s="26">
        <v>156</v>
      </c>
      <c r="H151" s="26">
        <v>0</v>
      </c>
      <c r="I151" s="28">
        <v>0</v>
      </c>
      <c r="J151" s="18">
        <f>D151-E151</f>
        <v>72</v>
      </c>
    </row>
    <row r="152" spans="1:10" x14ac:dyDescent="0.35">
      <c r="A152" s="26">
        <v>150</v>
      </c>
      <c r="B152" s="27" t="s">
        <v>117</v>
      </c>
      <c r="C152" s="26">
        <v>320</v>
      </c>
      <c r="D152" s="26">
        <v>274</v>
      </c>
      <c r="E152" s="23">
        <v>202</v>
      </c>
      <c r="F152" s="26">
        <v>64</v>
      </c>
      <c r="G152" s="26">
        <v>192</v>
      </c>
      <c r="H152" s="26">
        <v>10</v>
      </c>
      <c r="I152" s="28">
        <v>0</v>
      </c>
      <c r="J152" s="18">
        <f>D152-E152</f>
        <v>72</v>
      </c>
    </row>
    <row r="153" spans="1:10" x14ac:dyDescent="0.35">
      <c r="A153" s="23">
        <v>151</v>
      </c>
      <c r="B153" s="27" t="s">
        <v>94</v>
      </c>
      <c r="C153" s="26">
        <v>239</v>
      </c>
      <c r="D153" s="26">
        <v>204</v>
      </c>
      <c r="E153" s="23">
        <v>132</v>
      </c>
      <c r="F153" s="26">
        <v>71</v>
      </c>
      <c r="G153" s="26">
        <v>130</v>
      </c>
      <c r="H153" s="26">
        <v>2</v>
      </c>
      <c r="I153" s="28">
        <v>0</v>
      </c>
      <c r="J153" s="18">
        <f>D153-E153</f>
        <v>72</v>
      </c>
    </row>
    <row r="154" spans="1:10" x14ac:dyDescent="0.35">
      <c r="A154" s="26">
        <v>152</v>
      </c>
      <c r="B154" s="27" t="s">
        <v>152</v>
      </c>
      <c r="C154" s="26">
        <v>815</v>
      </c>
      <c r="D154" s="26">
        <v>677</v>
      </c>
      <c r="E154" s="23">
        <v>606</v>
      </c>
      <c r="F154" s="26">
        <v>69</v>
      </c>
      <c r="G154" s="26">
        <v>516</v>
      </c>
      <c r="H154" s="26">
        <v>10</v>
      </c>
      <c r="I154" s="28">
        <v>80</v>
      </c>
      <c r="J154" s="18">
        <f>D154-E154</f>
        <v>71</v>
      </c>
    </row>
    <row r="155" spans="1:10" x14ac:dyDescent="0.35">
      <c r="A155" s="23">
        <v>153</v>
      </c>
      <c r="B155" s="27" t="s">
        <v>60</v>
      </c>
      <c r="C155" s="26">
        <v>1471</v>
      </c>
      <c r="D155" s="26">
        <v>1227</v>
      </c>
      <c r="E155" s="23">
        <v>1157</v>
      </c>
      <c r="F155" s="26">
        <v>68</v>
      </c>
      <c r="G155" s="26">
        <v>1129</v>
      </c>
      <c r="H155" s="26">
        <v>17</v>
      </c>
      <c r="I155" s="28">
        <v>11</v>
      </c>
      <c r="J155" s="18">
        <f>D155-E155</f>
        <v>70</v>
      </c>
    </row>
    <row r="156" spans="1:10" x14ac:dyDescent="0.35">
      <c r="A156" s="26">
        <v>154</v>
      </c>
      <c r="B156" s="27" t="s">
        <v>95</v>
      </c>
      <c r="C156" s="26">
        <v>409</v>
      </c>
      <c r="D156" s="26">
        <v>317</v>
      </c>
      <c r="E156" s="23">
        <v>247</v>
      </c>
      <c r="F156" s="26">
        <v>69</v>
      </c>
      <c r="G156" s="26">
        <v>227</v>
      </c>
      <c r="H156" s="26">
        <v>20</v>
      </c>
      <c r="I156" s="28">
        <v>0</v>
      </c>
      <c r="J156" s="18">
        <f>D156-E156</f>
        <v>70</v>
      </c>
    </row>
    <row r="157" spans="1:10" x14ac:dyDescent="0.35">
      <c r="A157" s="23">
        <v>155</v>
      </c>
      <c r="B157" s="27" t="s">
        <v>123</v>
      </c>
      <c r="C157" s="26">
        <v>339</v>
      </c>
      <c r="D157" s="26">
        <v>258</v>
      </c>
      <c r="E157" s="23">
        <v>188</v>
      </c>
      <c r="F157" s="26">
        <v>65</v>
      </c>
      <c r="G157" s="26">
        <v>179</v>
      </c>
      <c r="H157" s="26">
        <v>9</v>
      </c>
      <c r="I157" s="28">
        <v>0</v>
      </c>
      <c r="J157" s="18">
        <f>D157-E157</f>
        <v>70</v>
      </c>
    </row>
    <row r="158" spans="1:10" x14ac:dyDescent="0.35">
      <c r="A158" s="26">
        <v>156</v>
      </c>
      <c r="B158" s="27" t="s">
        <v>257</v>
      </c>
      <c r="C158" s="26">
        <v>303</v>
      </c>
      <c r="D158" s="26">
        <v>214</v>
      </c>
      <c r="E158" s="23">
        <v>145</v>
      </c>
      <c r="F158" s="26">
        <v>66</v>
      </c>
      <c r="G158" s="26">
        <v>111</v>
      </c>
      <c r="H158" s="26">
        <v>34</v>
      </c>
      <c r="I158" s="28">
        <v>0</v>
      </c>
      <c r="J158" s="18">
        <f>D158-E158</f>
        <v>69</v>
      </c>
    </row>
    <row r="159" spans="1:10" x14ac:dyDescent="0.35">
      <c r="A159" s="23">
        <v>157</v>
      </c>
      <c r="B159" s="27" t="s">
        <v>287</v>
      </c>
      <c r="C159" s="26">
        <v>420</v>
      </c>
      <c r="D159" s="26">
        <v>350</v>
      </c>
      <c r="E159" s="23">
        <v>281</v>
      </c>
      <c r="F159" s="26">
        <v>63</v>
      </c>
      <c r="G159" s="26">
        <v>230</v>
      </c>
      <c r="H159" s="26">
        <v>51</v>
      </c>
      <c r="I159" s="28">
        <v>0</v>
      </c>
      <c r="J159" s="18">
        <f>D159-E159</f>
        <v>69</v>
      </c>
    </row>
    <row r="160" spans="1:10" x14ac:dyDescent="0.35">
      <c r="A160" s="26">
        <v>158</v>
      </c>
      <c r="B160" s="27" t="s">
        <v>64</v>
      </c>
      <c r="C160" s="26">
        <v>403</v>
      </c>
      <c r="D160" s="26">
        <v>384</v>
      </c>
      <c r="E160" s="23">
        <v>315</v>
      </c>
      <c r="F160" s="26">
        <v>68</v>
      </c>
      <c r="G160" s="26">
        <v>312</v>
      </c>
      <c r="H160" s="26">
        <v>3</v>
      </c>
      <c r="I160" s="28">
        <v>0</v>
      </c>
      <c r="J160" s="18">
        <f>D160-E160</f>
        <v>69</v>
      </c>
    </row>
    <row r="161" spans="1:10" x14ac:dyDescent="0.35">
      <c r="A161" s="23">
        <v>159</v>
      </c>
      <c r="B161" s="27" t="s">
        <v>217</v>
      </c>
      <c r="C161" s="26">
        <v>1075</v>
      </c>
      <c r="D161" s="26">
        <v>901</v>
      </c>
      <c r="E161" s="23">
        <v>833</v>
      </c>
      <c r="F161" s="26">
        <v>63</v>
      </c>
      <c r="G161" s="26">
        <v>822</v>
      </c>
      <c r="H161" s="26">
        <v>11</v>
      </c>
      <c r="I161" s="28">
        <v>0</v>
      </c>
      <c r="J161" s="18">
        <f>D161-E161</f>
        <v>68</v>
      </c>
    </row>
    <row r="162" spans="1:10" x14ac:dyDescent="0.35">
      <c r="A162" s="26">
        <v>160</v>
      </c>
      <c r="B162" s="27" t="s">
        <v>184</v>
      </c>
      <c r="C162" s="26">
        <v>717</v>
      </c>
      <c r="D162" s="26">
        <v>698</v>
      </c>
      <c r="E162" s="23">
        <v>631</v>
      </c>
      <c r="F162" s="26">
        <v>65</v>
      </c>
      <c r="G162" s="26">
        <v>398</v>
      </c>
      <c r="H162" s="26">
        <v>233</v>
      </c>
      <c r="I162" s="28">
        <v>0</v>
      </c>
      <c r="J162" s="18">
        <f>D162-E162</f>
        <v>67</v>
      </c>
    </row>
    <row r="163" spans="1:10" x14ac:dyDescent="0.35">
      <c r="A163" s="23">
        <v>161</v>
      </c>
      <c r="B163" s="27" t="s">
        <v>303</v>
      </c>
      <c r="C163" s="26">
        <v>301</v>
      </c>
      <c r="D163" s="26">
        <v>292</v>
      </c>
      <c r="E163" s="23">
        <v>225</v>
      </c>
      <c r="F163" s="26">
        <v>64</v>
      </c>
      <c r="G163" s="26">
        <v>197</v>
      </c>
      <c r="H163" s="26">
        <v>12</v>
      </c>
      <c r="I163" s="28">
        <v>16</v>
      </c>
      <c r="J163" s="18">
        <f>D163-E163</f>
        <v>67</v>
      </c>
    </row>
    <row r="164" spans="1:10" x14ac:dyDescent="0.35">
      <c r="A164" s="26">
        <v>162</v>
      </c>
      <c r="B164" s="27" t="s">
        <v>133</v>
      </c>
      <c r="C164" s="26">
        <v>865</v>
      </c>
      <c r="D164" s="26">
        <v>741</v>
      </c>
      <c r="E164" s="23">
        <v>675</v>
      </c>
      <c r="F164" s="26">
        <v>65</v>
      </c>
      <c r="G164" s="26">
        <v>663</v>
      </c>
      <c r="H164" s="26">
        <v>12</v>
      </c>
      <c r="I164" s="28">
        <v>0</v>
      </c>
      <c r="J164" s="18">
        <f>D164-E164</f>
        <v>66</v>
      </c>
    </row>
    <row r="165" spans="1:10" x14ac:dyDescent="0.35">
      <c r="A165" s="23">
        <v>163</v>
      </c>
      <c r="B165" s="27" t="s">
        <v>199</v>
      </c>
      <c r="C165" s="26">
        <v>323</v>
      </c>
      <c r="D165" s="26">
        <v>294</v>
      </c>
      <c r="E165" s="23">
        <v>228</v>
      </c>
      <c r="F165" s="26">
        <v>63</v>
      </c>
      <c r="G165" s="26">
        <v>129</v>
      </c>
      <c r="H165" s="26">
        <v>78</v>
      </c>
      <c r="I165" s="28">
        <v>21</v>
      </c>
      <c r="J165" s="18">
        <f>D165-E165</f>
        <v>66</v>
      </c>
    </row>
    <row r="166" spans="1:10" x14ac:dyDescent="0.35">
      <c r="A166" s="26">
        <v>164</v>
      </c>
      <c r="B166" s="27" t="s">
        <v>43</v>
      </c>
      <c r="C166" s="26">
        <v>212</v>
      </c>
      <c r="D166" s="26">
        <v>185</v>
      </c>
      <c r="E166" s="23">
        <v>119</v>
      </c>
      <c r="F166" s="26">
        <v>65</v>
      </c>
      <c r="G166" s="26">
        <v>118</v>
      </c>
      <c r="H166" s="26">
        <v>1</v>
      </c>
      <c r="I166" s="28">
        <v>0</v>
      </c>
      <c r="J166" s="18">
        <f>D166-E166</f>
        <v>66</v>
      </c>
    </row>
    <row r="167" spans="1:10" x14ac:dyDescent="0.35">
      <c r="A167" s="23">
        <v>165</v>
      </c>
      <c r="B167" s="27" t="s">
        <v>39</v>
      </c>
      <c r="C167" s="26">
        <v>325</v>
      </c>
      <c r="D167" s="26">
        <v>187</v>
      </c>
      <c r="E167" s="23">
        <v>122</v>
      </c>
      <c r="F167" s="26">
        <v>63</v>
      </c>
      <c r="G167" s="26">
        <v>94</v>
      </c>
      <c r="H167" s="26">
        <v>28</v>
      </c>
      <c r="I167" s="28">
        <v>0</v>
      </c>
      <c r="J167" s="18">
        <f>D167-E167</f>
        <v>65</v>
      </c>
    </row>
    <row r="168" spans="1:10" x14ac:dyDescent="0.35">
      <c r="A168" s="26">
        <v>166</v>
      </c>
      <c r="B168" s="27" t="s">
        <v>75</v>
      </c>
      <c r="C168" s="26">
        <v>338</v>
      </c>
      <c r="D168" s="26">
        <v>258</v>
      </c>
      <c r="E168" s="23">
        <v>193</v>
      </c>
      <c r="F168" s="26">
        <v>64</v>
      </c>
      <c r="G168" s="26">
        <v>175</v>
      </c>
      <c r="H168" s="26">
        <v>17</v>
      </c>
      <c r="I168" s="28">
        <v>1</v>
      </c>
      <c r="J168" s="18">
        <f>D168-E168</f>
        <v>65</v>
      </c>
    </row>
    <row r="169" spans="1:10" x14ac:dyDescent="0.35">
      <c r="A169" s="23">
        <v>167</v>
      </c>
      <c r="B169" s="27" t="s">
        <v>151</v>
      </c>
      <c r="C169" s="26">
        <v>270</v>
      </c>
      <c r="D169" s="26">
        <v>195</v>
      </c>
      <c r="E169" s="23">
        <v>130</v>
      </c>
      <c r="F169" s="26">
        <v>59</v>
      </c>
      <c r="G169" s="26">
        <v>66</v>
      </c>
      <c r="H169" s="26">
        <v>63</v>
      </c>
      <c r="I169" s="28">
        <v>1</v>
      </c>
      <c r="J169" s="18">
        <f>D169-E169</f>
        <v>65</v>
      </c>
    </row>
    <row r="170" spans="1:10" x14ac:dyDescent="0.35">
      <c r="A170" s="26">
        <v>168</v>
      </c>
      <c r="B170" s="27" t="s">
        <v>37</v>
      </c>
      <c r="C170" s="26">
        <v>521</v>
      </c>
      <c r="D170" s="26">
        <v>233</v>
      </c>
      <c r="E170" s="23">
        <v>169</v>
      </c>
      <c r="F170" s="26">
        <v>35</v>
      </c>
      <c r="G170" s="26">
        <v>149</v>
      </c>
      <c r="H170" s="26">
        <v>19</v>
      </c>
      <c r="I170" s="28">
        <v>1</v>
      </c>
      <c r="J170" s="18">
        <f>D170-E170</f>
        <v>64</v>
      </c>
    </row>
    <row r="171" spans="1:10" x14ac:dyDescent="0.35">
      <c r="A171" s="23">
        <v>169</v>
      </c>
      <c r="B171" s="27" t="s">
        <v>30</v>
      </c>
      <c r="C171" s="26">
        <v>386</v>
      </c>
      <c r="D171" s="26">
        <v>199</v>
      </c>
      <c r="E171" s="23">
        <v>135</v>
      </c>
      <c r="F171" s="26">
        <v>41</v>
      </c>
      <c r="G171" s="26">
        <v>111</v>
      </c>
      <c r="H171" s="26">
        <v>22</v>
      </c>
      <c r="I171" s="28">
        <v>2</v>
      </c>
      <c r="J171" s="18">
        <f>D171-E171</f>
        <v>64</v>
      </c>
    </row>
    <row r="172" spans="1:10" x14ac:dyDescent="0.35">
      <c r="A172" s="26">
        <v>170</v>
      </c>
      <c r="B172" s="27" t="s">
        <v>244</v>
      </c>
      <c r="C172" s="26">
        <v>261</v>
      </c>
      <c r="D172" s="26">
        <v>200</v>
      </c>
      <c r="E172" s="23">
        <v>136</v>
      </c>
      <c r="F172" s="26">
        <v>64</v>
      </c>
      <c r="G172" s="26">
        <v>136</v>
      </c>
      <c r="H172" s="26">
        <v>0</v>
      </c>
      <c r="I172" s="28">
        <v>0</v>
      </c>
      <c r="J172" s="18">
        <f>D172-E172</f>
        <v>64</v>
      </c>
    </row>
    <row r="173" spans="1:10" x14ac:dyDescent="0.35">
      <c r="A173" s="23">
        <v>171</v>
      </c>
      <c r="B173" s="27" t="s">
        <v>61</v>
      </c>
      <c r="C173" s="26">
        <v>1532</v>
      </c>
      <c r="D173" s="26">
        <v>616</v>
      </c>
      <c r="E173" s="23">
        <v>553</v>
      </c>
      <c r="F173" s="26">
        <v>59</v>
      </c>
      <c r="G173" s="26">
        <v>551</v>
      </c>
      <c r="H173" s="26">
        <v>2</v>
      </c>
      <c r="I173" s="28">
        <v>0</v>
      </c>
      <c r="J173" s="18">
        <f>D173-E173</f>
        <v>63</v>
      </c>
    </row>
    <row r="174" spans="1:10" x14ac:dyDescent="0.35">
      <c r="A174" s="26">
        <v>172</v>
      </c>
      <c r="B174" s="27" t="s">
        <v>179</v>
      </c>
      <c r="C174" s="26">
        <v>200</v>
      </c>
      <c r="D174" s="26">
        <v>181</v>
      </c>
      <c r="E174" s="23">
        <v>120</v>
      </c>
      <c r="F174" s="26">
        <v>58</v>
      </c>
      <c r="G174" s="26">
        <v>96</v>
      </c>
      <c r="H174" s="26">
        <v>24</v>
      </c>
      <c r="I174" s="28">
        <v>0</v>
      </c>
      <c r="J174" s="18">
        <f>D174-E174</f>
        <v>61</v>
      </c>
    </row>
    <row r="175" spans="1:10" x14ac:dyDescent="0.35">
      <c r="A175" s="23">
        <v>173</v>
      </c>
      <c r="B175" s="27" t="s">
        <v>154</v>
      </c>
      <c r="C175" s="26">
        <v>170</v>
      </c>
      <c r="D175" s="26">
        <v>154</v>
      </c>
      <c r="E175" s="23">
        <v>95</v>
      </c>
      <c r="F175" s="26">
        <v>54</v>
      </c>
      <c r="G175" s="26">
        <v>81</v>
      </c>
      <c r="H175" s="26">
        <v>14</v>
      </c>
      <c r="I175" s="28">
        <v>0</v>
      </c>
      <c r="J175" s="18">
        <f>D175-E175</f>
        <v>59</v>
      </c>
    </row>
    <row r="176" spans="1:10" x14ac:dyDescent="0.35">
      <c r="A176" s="26">
        <v>174</v>
      </c>
      <c r="B176" s="27" t="s">
        <v>302</v>
      </c>
      <c r="C176" s="26">
        <v>377</v>
      </c>
      <c r="D176" s="26">
        <v>367</v>
      </c>
      <c r="E176" s="23">
        <v>308</v>
      </c>
      <c r="F176" s="26">
        <v>59</v>
      </c>
      <c r="G176" s="26">
        <v>308</v>
      </c>
      <c r="H176" s="26">
        <v>0</v>
      </c>
      <c r="I176" s="28">
        <v>0</v>
      </c>
      <c r="J176" s="18">
        <f>D176-E176</f>
        <v>59</v>
      </c>
    </row>
    <row r="177" spans="1:10" x14ac:dyDescent="0.35">
      <c r="A177" s="23">
        <v>175</v>
      </c>
      <c r="B177" s="27" t="s">
        <v>129</v>
      </c>
      <c r="C177" s="26">
        <v>350</v>
      </c>
      <c r="D177" s="26">
        <v>235</v>
      </c>
      <c r="E177" s="23">
        <v>177</v>
      </c>
      <c r="F177" s="26">
        <v>56</v>
      </c>
      <c r="G177" s="26">
        <v>147</v>
      </c>
      <c r="H177" s="26">
        <v>30</v>
      </c>
      <c r="I177" s="28">
        <v>0</v>
      </c>
      <c r="J177" s="18">
        <f>D177-E177</f>
        <v>58</v>
      </c>
    </row>
    <row r="178" spans="1:10" x14ac:dyDescent="0.35">
      <c r="A178" s="26">
        <v>176</v>
      </c>
      <c r="B178" s="27" t="s">
        <v>229</v>
      </c>
      <c r="C178" s="26">
        <v>436</v>
      </c>
      <c r="D178" s="26">
        <v>370</v>
      </c>
      <c r="E178" s="23">
        <v>314</v>
      </c>
      <c r="F178" s="26">
        <v>52</v>
      </c>
      <c r="G178" s="26">
        <v>282</v>
      </c>
      <c r="H178" s="26">
        <v>32</v>
      </c>
      <c r="I178" s="28">
        <v>0</v>
      </c>
      <c r="J178" s="18">
        <f>D178-E178</f>
        <v>56</v>
      </c>
    </row>
    <row r="179" spans="1:10" x14ac:dyDescent="0.35">
      <c r="A179" s="23">
        <v>177</v>
      </c>
      <c r="B179" s="27" t="s">
        <v>252</v>
      </c>
      <c r="C179" s="26">
        <v>275</v>
      </c>
      <c r="D179" s="26">
        <v>198</v>
      </c>
      <c r="E179" s="23">
        <v>143</v>
      </c>
      <c r="F179" s="26">
        <v>53</v>
      </c>
      <c r="G179" s="26">
        <v>132</v>
      </c>
      <c r="H179" s="26">
        <v>11</v>
      </c>
      <c r="I179" s="28">
        <v>0</v>
      </c>
      <c r="J179" s="18">
        <f>D179-E179</f>
        <v>55</v>
      </c>
    </row>
    <row r="180" spans="1:10" x14ac:dyDescent="0.35">
      <c r="A180" s="26">
        <v>178</v>
      </c>
      <c r="B180" s="27" t="s">
        <v>240</v>
      </c>
      <c r="C180" s="26">
        <v>294</v>
      </c>
      <c r="D180" s="26">
        <v>281</v>
      </c>
      <c r="E180" s="23">
        <v>230</v>
      </c>
      <c r="F180" s="26">
        <v>27</v>
      </c>
      <c r="G180" s="26">
        <v>220</v>
      </c>
      <c r="H180" s="26">
        <v>10</v>
      </c>
      <c r="I180" s="28">
        <v>0</v>
      </c>
      <c r="J180" s="18">
        <f>D180-E180</f>
        <v>51</v>
      </c>
    </row>
    <row r="181" spans="1:10" x14ac:dyDescent="0.35">
      <c r="A181" s="23">
        <v>179</v>
      </c>
      <c r="B181" s="27" t="s">
        <v>254</v>
      </c>
      <c r="C181" s="26">
        <v>812</v>
      </c>
      <c r="D181" s="26">
        <v>541</v>
      </c>
      <c r="E181" s="23">
        <v>491</v>
      </c>
      <c r="F181" s="26">
        <v>37</v>
      </c>
      <c r="G181" s="26">
        <v>473</v>
      </c>
      <c r="H181" s="26">
        <v>17</v>
      </c>
      <c r="I181" s="28">
        <v>1</v>
      </c>
      <c r="J181" s="18">
        <f>D181-E181</f>
        <v>50</v>
      </c>
    </row>
    <row r="182" spans="1:10" x14ac:dyDescent="0.35">
      <c r="A182" s="26">
        <v>180</v>
      </c>
      <c r="B182" s="27" t="s">
        <v>278</v>
      </c>
      <c r="C182" s="26">
        <v>1309</v>
      </c>
      <c r="D182" s="26">
        <v>1132</v>
      </c>
      <c r="E182" s="23">
        <v>1082</v>
      </c>
      <c r="F182" s="26">
        <v>47</v>
      </c>
      <c r="G182" s="26">
        <v>1076</v>
      </c>
      <c r="H182" s="26">
        <v>6</v>
      </c>
      <c r="I182" s="28">
        <v>0</v>
      </c>
      <c r="J182" s="18">
        <f>D182-E182</f>
        <v>50</v>
      </c>
    </row>
    <row r="183" spans="1:10" x14ac:dyDescent="0.35">
      <c r="A183" s="23">
        <v>181</v>
      </c>
      <c r="B183" s="27" t="s">
        <v>31</v>
      </c>
      <c r="C183" s="26">
        <v>342</v>
      </c>
      <c r="D183" s="26">
        <v>284</v>
      </c>
      <c r="E183" s="23">
        <v>234</v>
      </c>
      <c r="F183" s="26">
        <v>50</v>
      </c>
      <c r="G183" s="26">
        <v>219</v>
      </c>
      <c r="H183" s="26">
        <v>15</v>
      </c>
      <c r="I183" s="28">
        <v>0</v>
      </c>
      <c r="J183" s="18">
        <f>D183-E183</f>
        <v>50</v>
      </c>
    </row>
    <row r="184" spans="1:10" x14ac:dyDescent="0.35">
      <c r="A184" s="26">
        <v>182</v>
      </c>
      <c r="B184" s="27" t="s">
        <v>103</v>
      </c>
      <c r="C184" s="26">
        <v>559</v>
      </c>
      <c r="D184" s="26">
        <v>507</v>
      </c>
      <c r="E184" s="23">
        <v>457</v>
      </c>
      <c r="F184" s="26">
        <v>45</v>
      </c>
      <c r="G184" s="26">
        <v>437</v>
      </c>
      <c r="H184" s="26">
        <v>20</v>
      </c>
      <c r="I184" s="28">
        <v>0</v>
      </c>
      <c r="J184" s="18">
        <f>D184-E184</f>
        <v>50</v>
      </c>
    </row>
    <row r="185" spans="1:10" x14ac:dyDescent="0.35">
      <c r="A185" s="23">
        <v>183</v>
      </c>
      <c r="B185" s="27" t="s">
        <v>71</v>
      </c>
      <c r="C185" s="26">
        <v>141</v>
      </c>
      <c r="D185" s="26">
        <v>109</v>
      </c>
      <c r="E185" s="23">
        <v>60</v>
      </c>
      <c r="F185" s="26">
        <v>48</v>
      </c>
      <c r="G185" s="26">
        <v>57</v>
      </c>
      <c r="H185" s="26">
        <v>1</v>
      </c>
      <c r="I185" s="28">
        <v>2</v>
      </c>
      <c r="J185" s="18">
        <f>D185-E185</f>
        <v>49</v>
      </c>
    </row>
    <row r="186" spans="1:10" x14ac:dyDescent="0.35">
      <c r="A186" s="26">
        <v>184</v>
      </c>
      <c r="B186" s="27" t="s">
        <v>307</v>
      </c>
      <c r="C186" s="26">
        <v>108</v>
      </c>
      <c r="D186" s="26">
        <v>107</v>
      </c>
      <c r="E186" s="23">
        <v>61</v>
      </c>
      <c r="F186" s="26">
        <v>42</v>
      </c>
      <c r="G186" s="26">
        <v>53</v>
      </c>
      <c r="H186" s="26">
        <v>8</v>
      </c>
      <c r="I186" s="28">
        <v>0</v>
      </c>
      <c r="J186" s="18">
        <f>D186-E186</f>
        <v>46</v>
      </c>
    </row>
    <row r="187" spans="1:10" x14ac:dyDescent="0.35">
      <c r="A187" s="23">
        <v>185</v>
      </c>
      <c r="B187" s="27" t="s">
        <v>178</v>
      </c>
      <c r="C187" s="26">
        <v>135</v>
      </c>
      <c r="D187" s="26">
        <v>135</v>
      </c>
      <c r="E187" s="23">
        <v>89</v>
      </c>
      <c r="F187" s="26">
        <v>223</v>
      </c>
      <c r="G187" s="26">
        <v>72</v>
      </c>
      <c r="H187" s="26">
        <v>9</v>
      </c>
      <c r="I187" s="28">
        <v>8</v>
      </c>
      <c r="J187" s="18">
        <f>D187-E187</f>
        <v>46</v>
      </c>
    </row>
    <row r="188" spans="1:10" x14ac:dyDescent="0.35">
      <c r="A188" s="26">
        <v>186</v>
      </c>
      <c r="B188" s="27" t="s">
        <v>298</v>
      </c>
      <c r="C188" s="26">
        <v>197</v>
      </c>
      <c r="D188" s="26">
        <v>165</v>
      </c>
      <c r="E188" s="23">
        <v>120</v>
      </c>
      <c r="F188" s="26">
        <v>44</v>
      </c>
      <c r="G188" s="26">
        <v>93</v>
      </c>
      <c r="H188" s="26">
        <v>27</v>
      </c>
      <c r="I188" s="28">
        <v>0</v>
      </c>
      <c r="J188" s="18">
        <f>D188-E188</f>
        <v>45</v>
      </c>
    </row>
    <row r="189" spans="1:10" x14ac:dyDescent="0.35">
      <c r="A189" s="23">
        <v>187</v>
      </c>
      <c r="B189" s="27" t="s">
        <v>269</v>
      </c>
      <c r="C189" s="26">
        <v>1569</v>
      </c>
      <c r="D189" s="26">
        <v>655</v>
      </c>
      <c r="E189" s="23">
        <v>612</v>
      </c>
      <c r="F189" s="26">
        <v>41</v>
      </c>
      <c r="G189" s="26">
        <v>474</v>
      </c>
      <c r="H189" s="26">
        <v>138</v>
      </c>
      <c r="I189" s="28">
        <v>0</v>
      </c>
      <c r="J189" s="18">
        <f>D189-E189</f>
        <v>43</v>
      </c>
    </row>
    <row r="190" spans="1:10" x14ac:dyDescent="0.35">
      <c r="A190" s="26">
        <v>188</v>
      </c>
      <c r="B190" s="27" t="s">
        <v>243</v>
      </c>
      <c r="C190" s="26">
        <v>430</v>
      </c>
      <c r="D190" s="26">
        <v>311</v>
      </c>
      <c r="E190" s="23">
        <v>268</v>
      </c>
      <c r="F190" s="26">
        <v>40</v>
      </c>
      <c r="G190" s="26">
        <v>268</v>
      </c>
      <c r="H190" s="26">
        <v>0</v>
      </c>
      <c r="I190" s="28">
        <v>0</v>
      </c>
      <c r="J190" s="18">
        <f>D190-E190</f>
        <v>43</v>
      </c>
    </row>
    <row r="191" spans="1:10" x14ac:dyDescent="0.35">
      <c r="A191" s="23">
        <v>189</v>
      </c>
      <c r="B191" s="27" t="s">
        <v>72</v>
      </c>
      <c r="C191" s="26">
        <v>876</v>
      </c>
      <c r="D191" s="26">
        <v>723</v>
      </c>
      <c r="E191" s="23">
        <v>681</v>
      </c>
      <c r="F191" s="26">
        <v>41</v>
      </c>
      <c r="G191" s="26">
        <v>649</v>
      </c>
      <c r="H191" s="26">
        <v>30</v>
      </c>
      <c r="I191" s="28">
        <v>2</v>
      </c>
      <c r="J191" s="18">
        <f>D191-E191</f>
        <v>42</v>
      </c>
    </row>
    <row r="192" spans="1:10" x14ac:dyDescent="0.35">
      <c r="A192" s="26">
        <v>190</v>
      </c>
      <c r="B192" s="27" t="s">
        <v>18</v>
      </c>
      <c r="C192" s="26">
        <v>596</v>
      </c>
      <c r="D192" s="26">
        <v>529</v>
      </c>
      <c r="E192" s="23">
        <v>487</v>
      </c>
      <c r="F192" s="26">
        <v>40</v>
      </c>
      <c r="G192" s="26">
        <v>439</v>
      </c>
      <c r="H192" s="26">
        <v>48</v>
      </c>
      <c r="I192" s="28">
        <v>0</v>
      </c>
      <c r="J192" s="18">
        <f>D192-E192</f>
        <v>42</v>
      </c>
    </row>
    <row r="193" spans="1:10" x14ac:dyDescent="0.35">
      <c r="A193" s="23">
        <v>191</v>
      </c>
      <c r="B193" s="27" t="s">
        <v>98</v>
      </c>
      <c r="C193" s="26">
        <v>325</v>
      </c>
      <c r="D193" s="26">
        <v>102</v>
      </c>
      <c r="E193" s="23">
        <v>61</v>
      </c>
      <c r="F193" s="26">
        <v>41</v>
      </c>
      <c r="G193" s="26">
        <v>57</v>
      </c>
      <c r="H193" s="26">
        <v>4</v>
      </c>
      <c r="I193" s="28">
        <v>0</v>
      </c>
      <c r="J193" s="18">
        <f>D193-E193</f>
        <v>41</v>
      </c>
    </row>
    <row r="194" spans="1:10" x14ac:dyDescent="0.35">
      <c r="A194" s="26">
        <v>192</v>
      </c>
      <c r="B194" s="27" t="s">
        <v>44</v>
      </c>
      <c r="C194" s="26">
        <v>372</v>
      </c>
      <c r="D194" s="26">
        <v>341</v>
      </c>
      <c r="E194" s="23">
        <v>301</v>
      </c>
      <c r="F194" s="26">
        <v>39</v>
      </c>
      <c r="G194" s="26">
        <v>280</v>
      </c>
      <c r="H194" s="26">
        <v>17</v>
      </c>
      <c r="I194" s="28">
        <v>4</v>
      </c>
      <c r="J194" s="18">
        <f>D194-E194</f>
        <v>40</v>
      </c>
    </row>
    <row r="195" spans="1:10" x14ac:dyDescent="0.35">
      <c r="A195" s="23">
        <v>193</v>
      </c>
      <c r="B195" s="27" t="s">
        <v>139</v>
      </c>
      <c r="C195" s="26">
        <v>218</v>
      </c>
      <c r="D195" s="26">
        <v>218</v>
      </c>
      <c r="E195" s="23">
        <v>178</v>
      </c>
      <c r="F195" s="26">
        <v>42</v>
      </c>
      <c r="G195" s="26">
        <v>154</v>
      </c>
      <c r="H195" s="26">
        <v>21</v>
      </c>
      <c r="I195" s="28">
        <v>3</v>
      </c>
      <c r="J195" s="18">
        <f>D195-E195</f>
        <v>40</v>
      </c>
    </row>
    <row r="196" spans="1:10" x14ac:dyDescent="0.35">
      <c r="A196" s="26">
        <v>194</v>
      </c>
      <c r="B196" s="27" t="s">
        <v>162</v>
      </c>
      <c r="C196" s="26">
        <v>179</v>
      </c>
      <c r="D196" s="26">
        <v>129</v>
      </c>
      <c r="E196" s="23">
        <v>90</v>
      </c>
      <c r="F196" s="26">
        <v>39</v>
      </c>
      <c r="G196" s="26">
        <v>76</v>
      </c>
      <c r="H196" s="26">
        <v>11</v>
      </c>
      <c r="I196" s="28">
        <v>3</v>
      </c>
      <c r="J196" s="18">
        <f>D196-E196</f>
        <v>39</v>
      </c>
    </row>
    <row r="197" spans="1:10" x14ac:dyDescent="0.35">
      <c r="A197" s="23">
        <v>195</v>
      </c>
      <c r="B197" s="27" t="s">
        <v>135</v>
      </c>
      <c r="C197" s="26">
        <v>85</v>
      </c>
      <c r="D197" s="26">
        <v>85</v>
      </c>
      <c r="E197" s="23">
        <v>46</v>
      </c>
      <c r="F197" s="26">
        <v>39</v>
      </c>
      <c r="G197" s="26">
        <v>46</v>
      </c>
      <c r="H197" s="26">
        <v>0</v>
      </c>
      <c r="I197" s="28">
        <v>0</v>
      </c>
      <c r="J197" s="18">
        <f>D197-E197</f>
        <v>39</v>
      </c>
    </row>
    <row r="198" spans="1:10" x14ac:dyDescent="0.35">
      <c r="A198" s="26">
        <v>196</v>
      </c>
      <c r="B198" s="27" t="s">
        <v>32</v>
      </c>
      <c r="C198" s="26">
        <v>234</v>
      </c>
      <c r="D198" s="26">
        <v>172</v>
      </c>
      <c r="E198" s="23">
        <v>134</v>
      </c>
      <c r="F198" s="26">
        <v>38</v>
      </c>
      <c r="G198" s="26">
        <v>121</v>
      </c>
      <c r="H198" s="26">
        <v>13</v>
      </c>
      <c r="I198" s="28">
        <v>0</v>
      </c>
      <c r="J198" s="18">
        <f>D198-E198</f>
        <v>38</v>
      </c>
    </row>
    <row r="199" spans="1:10" x14ac:dyDescent="0.35">
      <c r="A199" s="23">
        <v>197</v>
      </c>
      <c r="B199" s="27" t="s">
        <v>86</v>
      </c>
      <c r="C199" s="26">
        <v>74</v>
      </c>
      <c r="D199" s="26">
        <v>56</v>
      </c>
      <c r="E199" s="23">
        <v>19</v>
      </c>
      <c r="F199" s="26">
        <v>34</v>
      </c>
      <c r="G199" s="26">
        <v>14</v>
      </c>
      <c r="H199" s="26">
        <v>4</v>
      </c>
      <c r="I199" s="28">
        <v>1</v>
      </c>
      <c r="J199" s="18">
        <f>D199-E199</f>
        <v>37</v>
      </c>
    </row>
    <row r="200" spans="1:10" x14ac:dyDescent="0.35">
      <c r="A200" s="26">
        <v>198</v>
      </c>
      <c r="B200" s="27" t="s">
        <v>33</v>
      </c>
      <c r="C200" s="26">
        <v>167</v>
      </c>
      <c r="D200" s="26">
        <v>153</v>
      </c>
      <c r="E200" s="23">
        <v>116</v>
      </c>
      <c r="F200" s="26">
        <v>30</v>
      </c>
      <c r="G200" s="26">
        <v>95</v>
      </c>
      <c r="H200" s="26">
        <v>21</v>
      </c>
      <c r="I200" s="28">
        <v>0</v>
      </c>
      <c r="J200" s="18">
        <f>D200-E200</f>
        <v>37</v>
      </c>
    </row>
    <row r="201" spans="1:10" x14ac:dyDescent="0.35">
      <c r="A201" s="23">
        <v>199</v>
      </c>
      <c r="B201" s="27" t="s">
        <v>160</v>
      </c>
      <c r="C201" s="26">
        <v>118</v>
      </c>
      <c r="D201" s="26">
        <v>115</v>
      </c>
      <c r="E201" s="23">
        <v>78</v>
      </c>
      <c r="F201" s="26">
        <v>27</v>
      </c>
      <c r="G201" s="26">
        <v>62</v>
      </c>
      <c r="H201" s="26">
        <v>16</v>
      </c>
      <c r="I201" s="28">
        <v>0</v>
      </c>
      <c r="J201" s="18">
        <f>D201-E201</f>
        <v>37</v>
      </c>
    </row>
    <row r="202" spans="1:10" x14ac:dyDescent="0.35">
      <c r="A202" s="26">
        <v>200</v>
      </c>
      <c r="B202" s="27" t="s">
        <v>274</v>
      </c>
      <c r="C202" s="26">
        <v>316</v>
      </c>
      <c r="D202" s="26">
        <v>102</v>
      </c>
      <c r="E202" s="23">
        <v>66</v>
      </c>
      <c r="F202" s="26">
        <v>32</v>
      </c>
      <c r="G202" s="26">
        <v>59</v>
      </c>
      <c r="H202" s="26">
        <v>7</v>
      </c>
      <c r="I202" s="28">
        <v>0</v>
      </c>
      <c r="J202" s="18">
        <f>D202-E202</f>
        <v>36</v>
      </c>
    </row>
    <row r="203" spans="1:10" x14ac:dyDescent="0.35">
      <c r="A203" s="23">
        <v>201</v>
      </c>
      <c r="B203" s="27" t="s">
        <v>96</v>
      </c>
      <c r="C203" s="26">
        <v>867</v>
      </c>
      <c r="D203" s="26">
        <v>759</v>
      </c>
      <c r="E203" s="23">
        <v>723</v>
      </c>
      <c r="F203" s="26">
        <v>36</v>
      </c>
      <c r="G203" s="26">
        <v>721</v>
      </c>
      <c r="H203" s="26">
        <v>2</v>
      </c>
      <c r="I203" s="28">
        <v>0</v>
      </c>
      <c r="J203" s="18">
        <f>D203-E203</f>
        <v>36</v>
      </c>
    </row>
    <row r="204" spans="1:10" x14ac:dyDescent="0.35">
      <c r="A204" s="26">
        <v>202</v>
      </c>
      <c r="B204" s="27" t="s">
        <v>248</v>
      </c>
      <c r="C204" s="26">
        <v>213</v>
      </c>
      <c r="D204" s="26">
        <v>104</v>
      </c>
      <c r="E204" s="23">
        <v>69</v>
      </c>
      <c r="F204" s="26">
        <v>34</v>
      </c>
      <c r="G204" s="26">
        <v>65</v>
      </c>
      <c r="H204" s="26">
        <v>4</v>
      </c>
      <c r="I204" s="28">
        <v>0</v>
      </c>
      <c r="J204" s="18">
        <f>D204-E204</f>
        <v>35</v>
      </c>
    </row>
    <row r="205" spans="1:10" x14ac:dyDescent="0.35">
      <c r="A205" s="23">
        <v>203</v>
      </c>
      <c r="B205" s="27" t="s">
        <v>19</v>
      </c>
      <c r="C205" s="26">
        <v>395</v>
      </c>
      <c r="D205" s="26">
        <v>391</v>
      </c>
      <c r="E205" s="23">
        <v>356</v>
      </c>
      <c r="F205" s="26">
        <v>33</v>
      </c>
      <c r="G205" s="26">
        <v>355</v>
      </c>
      <c r="H205" s="26">
        <v>1</v>
      </c>
      <c r="I205" s="28">
        <v>0</v>
      </c>
      <c r="J205" s="18">
        <f>D205-E205</f>
        <v>35</v>
      </c>
    </row>
    <row r="206" spans="1:10" x14ac:dyDescent="0.35">
      <c r="A206" s="26">
        <v>204</v>
      </c>
      <c r="B206" s="27" t="s">
        <v>308</v>
      </c>
      <c r="C206" s="26">
        <v>161</v>
      </c>
      <c r="D206" s="26">
        <v>161</v>
      </c>
      <c r="E206" s="23">
        <v>126</v>
      </c>
      <c r="F206" s="26">
        <v>35</v>
      </c>
      <c r="G206" s="26">
        <v>71</v>
      </c>
      <c r="H206" s="26">
        <v>46</v>
      </c>
      <c r="I206" s="28">
        <v>9</v>
      </c>
      <c r="J206" s="18">
        <f>D206-E206</f>
        <v>35</v>
      </c>
    </row>
    <row r="207" spans="1:10" x14ac:dyDescent="0.35">
      <c r="A207" s="23">
        <v>205</v>
      </c>
      <c r="B207" s="27" t="s">
        <v>8</v>
      </c>
      <c r="C207" s="26">
        <v>229</v>
      </c>
      <c r="D207" s="26">
        <v>121</v>
      </c>
      <c r="E207" s="23">
        <v>87</v>
      </c>
      <c r="F207" s="26">
        <v>34</v>
      </c>
      <c r="G207" s="26">
        <v>59</v>
      </c>
      <c r="H207" s="26">
        <v>25</v>
      </c>
      <c r="I207" s="28">
        <v>3</v>
      </c>
      <c r="J207" s="18">
        <f>D207-E207</f>
        <v>34</v>
      </c>
    </row>
    <row r="208" spans="1:10" x14ac:dyDescent="0.35">
      <c r="A208" s="26">
        <v>206</v>
      </c>
      <c r="B208" s="27" t="s">
        <v>245</v>
      </c>
      <c r="C208" s="26">
        <v>240</v>
      </c>
      <c r="D208" s="26">
        <v>117</v>
      </c>
      <c r="E208" s="23">
        <v>84</v>
      </c>
      <c r="F208" s="26">
        <v>20</v>
      </c>
      <c r="G208" s="26">
        <v>84</v>
      </c>
      <c r="H208" s="26">
        <v>0</v>
      </c>
      <c r="I208" s="28">
        <v>0</v>
      </c>
      <c r="J208" s="18">
        <f>D208-E208</f>
        <v>33</v>
      </c>
    </row>
    <row r="209" spans="1:10" x14ac:dyDescent="0.35">
      <c r="A209" s="23">
        <v>207</v>
      </c>
      <c r="B209" s="27" t="s">
        <v>121</v>
      </c>
      <c r="C209" s="26">
        <v>352</v>
      </c>
      <c r="D209" s="26">
        <v>338</v>
      </c>
      <c r="E209" s="23">
        <v>305</v>
      </c>
      <c r="F209" s="26">
        <v>32</v>
      </c>
      <c r="G209" s="26">
        <v>262</v>
      </c>
      <c r="H209" s="26">
        <v>43</v>
      </c>
      <c r="I209" s="28">
        <v>0</v>
      </c>
      <c r="J209" s="18">
        <f>D209-E209</f>
        <v>33</v>
      </c>
    </row>
    <row r="210" spans="1:10" x14ac:dyDescent="0.35">
      <c r="A210" s="26">
        <v>208</v>
      </c>
      <c r="B210" s="27" t="s">
        <v>107</v>
      </c>
      <c r="C210" s="26">
        <v>165</v>
      </c>
      <c r="D210" s="26">
        <v>128</v>
      </c>
      <c r="E210" s="23">
        <v>97</v>
      </c>
      <c r="F210" s="26">
        <v>31</v>
      </c>
      <c r="G210" s="26">
        <v>92</v>
      </c>
      <c r="H210" s="26">
        <v>5</v>
      </c>
      <c r="I210" s="28">
        <v>0</v>
      </c>
      <c r="J210" s="18">
        <f>D210-E210</f>
        <v>31</v>
      </c>
    </row>
    <row r="211" spans="1:10" x14ac:dyDescent="0.35">
      <c r="A211" s="23">
        <v>209</v>
      </c>
      <c r="B211" s="27" t="s">
        <v>299</v>
      </c>
      <c r="C211" s="26">
        <v>203</v>
      </c>
      <c r="D211" s="26">
        <v>177</v>
      </c>
      <c r="E211" s="23">
        <v>146</v>
      </c>
      <c r="F211" s="26">
        <v>27</v>
      </c>
      <c r="G211" s="26">
        <v>144</v>
      </c>
      <c r="H211" s="26">
        <v>2</v>
      </c>
      <c r="I211" s="28">
        <v>0</v>
      </c>
      <c r="J211" s="18">
        <f>D211-E211</f>
        <v>31</v>
      </c>
    </row>
    <row r="212" spans="1:10" x14ac:dyDescent="0.35">
      <c r="A212" s="26">
        <v>210</v>
      </c>
      <c r="B212" s="27" t="s">
        <v>233</v>
      </c>
      <c r="C212" s="26">
        <v>239</v>
      </c>
      <c r="D212" s="26">
        <v>208</v>
      </c>
      <c r="E212" s="23">
        <v>178</v>
      </c>
      <c r="F212" s="26">
        <v>30</v>
      </c>
      <c r="G212" s="26">
        <v>178</v>
      </c>
      <c r="H212" s="26">
        <v>0</v>
      </c>
      <c r="I212" s="28">
        <v>0</v>
      </c>
      <c r="J212" s="18">
        <f>D212-E212</f>
        <v>30</v>
      </c>
    </row>
    <row r="213" spans="1:10" x14ac:dyDescent="0.35">
      <c r="A213" s="23">
        <v>211</v>
      </c>
      <c r="B213" s="27" t="s">
        <v>38</v>
      </c>
      <c r="C213" s="26">
        <v>206</v>
      </c>
      <c r="D213" s="26">
        <v>168</v>
      </c>
      <c r="E213" s="23">
        <v>139</v>
      </c>
      <c r="F213" s="26">
        <v>27</v>
      </c>
      <c r="G213" s="26">
        <v>120</v>
      </c>
      <c r="H213" s="26">
        <v>19</v>
      </c>
      <c r="I213" s="28">
        <v>0</v>
      </c>
      <c r="J213" s="18">
        <f>D213-E213</f>
        <v>29</v>
      </c>
    </row>
    <row r="214" spans="1:10" x14ac:dyDescent="0.35">
      <c r="A214" s="26">
        <v>212</v>
      </c>
      <c r="B214" s="27" t="s">
        <v>138</v>
      </c>
      <c r="C214" s="26">
        <v>260</v>
      </c>
      <c r="D214" s="26">
        <v>168</v>
      </c>
      <c r="E214" s="23">
        <v>140</v>
      </c>
      <c r="F214" s="26">
        <v>25</v>
      </c>
      <c r="G214" s="26">
        <v>140</v>
      </c>
      <c r="H214" s="26">
        <v>0</v>
      </c>
      <c r="I214" s="28">
        <v>0</v>
      </c>
      <c r="J214" s="18">
        <f>D214-E214</f>
        <v>28</v>
      </c>
    </row>
    <row r="215" spans="1:10" x14ac:dyDescent="0.35">
      <c r="A215" s="23">
        <v>213</v>
      </c>
      <c r="B215" s="27" t="s">
        <v>156</v>
      </c>
      <c r="C215" s="26">
        <v>82</v>
      </c>
      <c r="D215" s="26">
        <v>70</v>
      </c>
      <c r="E215" s="23">
        <v>42</v>
      </c>
      <c r="F215" s="26">
        <v>27</v>
      </c>
      <c r="G215" s="26">
        <v>40</v>
      </c>
      <c r="H215" s="26">
        <v>2</v>
      </c>
      <c r="I215" s="28">
        <v>0</v>
      </c>
      <c r="J215" s="18">
        <f>D215-E215</f>
        <v>28</v>
      </c>
    </row>
    <row r="216" spans="1:10" x14ac:dyDescent="0.35">
      <c r="A216" s="26">
        <v>214</v>
      </c>
      <c r="B216" s="27" t="s">
        <v>21</v>
      </c>
      <c r="C216" s="26">
        <v>268</v>
      </c>
      <c r="D216" s="26">
        <v>75</v>
      </c>
      <c r="E216" s="23">
        <v>48</v>
      </c>
      <c r="F216" s="26">
        <v>27</v>
      </c>
      <c r="G216" s="26">
        <v>48</v>
      </c>
      <c r="H216" s="26">
        <v>0</v>
      </c>
      <c r="I216" s="28">
        <v>0</v>
      </c>
      <c r="J216" s="18">
        <f>D216-E216</f>
        <v>27</v>
      </c>
    </row>
    <row r="217" spans="1:10" x14ac:dyDescent="0.35">
      <c r="A217" s="23">
        <v>215</v>
      </c>
      <c r="B217" s="27" t="s">
        <v>306</v>
      </c>
      <c r="C217" s="26">
        <v>124</v>
      </c>
      <c r="D217" s="26">
        <v>122</v>
      </c>
      <c r="E217" s="23">
        <v>96</v>
      </c>
      <c r="F217" s="26">
        <v>24</v>
      </c>
      <c r="G217" s="26">
        <v>47</v>
      </c>
      <c r="H217" s="26">
        <v>49</v>
      </c>
      <c r="I217" s="28">
        <v>0</v>
      </c>
      <c r="J217" s="18">
        <f>D217-E217</f>
        <v>26</v>
      </c>
    </row>
    <row r="218" spans="1:10" x14ac:dyDescent="0.35">
      <c r="A218" s="26">
        <v>216</v>
      </c>
      <c r="B218" s="27" t="s">
        <v>5</v>
      </c>
      <c r="C218" s="26">
        <v>249</v>
      </c>
      <c r="D218" s="26">
        <v>239</v>
      </c>
      <c r="E218" s="23">
        <v>214</v>
      </c>
      <c r="F218" s="26">
        <v>12</v>
      </c>
      <c r="G218" s="26">
        <v>212</v>
      </c>
      <c r="H218" s="26">
        <v>1</v>
      </c>
      <c r="I218" s="28">
        <v>1</v>
      </c>
      <c r="J218" s="18">
        <f>D218-E218</f>
        <v>25</v>
      </c>
    </row>
    <row r="219" spans="1:10" x14ac:dyDescent="0.35">
      <c r="A219" s="23">
        <v>217</v>
      </c>
      <c r="B219" s="27" t="s">
        <v>163</v>
      </c>
      <c r="C219" s="26">
        <v>131</v>
      </c>
      <c r="D219" s="26">
        <v>129</v>
      </c>
      <c r="E219" s="23">
        <v>104</v>
      </c>
      <c r="F219" s="26">
        <v>22</v>
      </c>
      <c r="G219" s="26">
        <v>83</v>
      </c>
      <c r="H219" s="26">
        <v>21</v>
      </c>
      <c r="I219" s="28">
        <v>0</v>
      </c>
      <c r="J219" s="18">
        <f>D219-E219</f>
        <v>25</v>
      </c>
    </row>
    <row r="220" spans="1:10" x14ac:dyDescent="0.35">
      <c r="A220" s="26">
        <v>218</v>
      </c>
      <c r="B220" s="27" t="s">
        <v>132</v>
      </c>
      <c r="C220" s="26">
        <v>512</v>
      </c>
      <c r="D220" s="26">
        <v>412</v>
      </c>
      <c r="E220" s="23">
        <v>388</v>
      </c>
      <c r="F220" s="26">
        <v>23</v>
      </c>
      <c r="G220" s="26">
        <v>384</v>
      </c>
      <c r="H220" s="26">
        <v>4</v>
      </c>
      <c r="I220" s="28">
        <v>0</v>
      </c>
      <c r="J220" s="18">
        <f>D220-E220</f>
        <v>24</v>
      </c>
    </row>
    <row r="221" spans="1:10" x14ac:dyDescent="0.35">
      <c r="A221" s="23">
        <v>219</v>
      </c>
      <c r="B221" s="27" t="s">
        <v>81</v>
      </c>
      <c r="C221" s="26">
        <v>210</v>
      </c>
      <c r="D221" s="26">
        <v>175</v>
      </c>
      <c r="E221" s="23">
        <v>151</v>
      </c>
      <c r="F221" s="26">
        <v>21</v>
      </c>
      <c r="G221" s="26">
        <v>136</v>
      </c>
      <c r="H221" s="26">
        <v>14</v>
      </c>
      <c r="I221" s="28">
        <v>1</v>
      </c>
      <c r="J221" s="18">
        <f>D221-E221</f>
        <v>24</v>
      </c>
    </row>
    <row r="222" spans="1:10" x14ac:dyDescent="0.35">
      <c r="A222" s="26">
        <v>220</v>
      </c>
      <c r="B222" s="27" t="s">
        <v>34</v>
      </c>
      <c r="C222" s="26">
        <v>161</v>
      </c>
      <c r="D222" s="26">
        <v>153</v>
      </c>
      <c r="E222" s="23">
        <v>129</v>
      </c>
      <c r="F222" s="26">
        <v>24</v>
      </c>
      <c r="G222" s="26">
        <v>123</v>
      </c>
      <c r="H222" s="26">
        <v>5</v>
      </c>
      <c r="I222" s="28">
        <v>1</v>
      </c>
      <c r="J222" s="18">
        <f>D222-E222</f>
        <v>24</v>
      </c>
    </row>
    <row r="223" spans="1:10" x14ac:dyDescent="0.35">
      <c r="A223" s="23">
        <v>221</v>
      </c>
      <c r="B223" s="27" t="s">
        <v>194</v>
      </c>
      <c r="C223" s="26">
        <v>120</v>
      </c>
      <c r="D223" s="26">
        <v>112</v>
      </c>
      <c r="E223" s="23">
        <v>88</v>
      </c>
      <c r="F223" s="26">
        <v>22</v>
      </c>
      <c r="G223" s="26">
        <v>63</v>
      </c>
      <c r="H223" s="26">
        <v>25</v>
      </c>
      <c r="I223" s="28">
        <v>0</v>
      </c>
      <c r="J223" s="18">
        <f>D223-E223</f>
        <v>24</v>
      </c>
    </row>
    <row r="224" spans="1:10" x14ac:dyDescent="0.35">
      <c r="A224" s="26">
        <v>222</v>
      </c>
      <c r="B224" s="27" t="s">
        <v>147</v>
      </c>
      <c r="C224" s="26">
        <v>254</v>
      </c>
      <c r="D224" s="26">
        <v>184</v>
      </c>
      <c r="E224" s="23">
        <v>161</v>
      </c>
      <c r="F224" s="26">
        <v>22</v>
      </c>
      <c r="G224" s="26">
        <v>113</v>
      </c>
      <c r="H224" s="26">
        <v>39</v>
      </c>
      <c r="I224" s="28">
        <v>9</v>
      </c>
      <c r="J224" s="18">
        <f>D224-E224</f>
        <v>23</v>
      </c>
    </row>
    <row r="225" spans="1:10" x14ac:dyDescent="0.35">
      <c r="A225" s="23">
        <v>223</v>
      </c>
      <c r="B225" s="27" t="s">
        <v>35</v>
      </c>
      <c r="C225" s="26">
        <v>230</v>
      </c>
      <c r="D225" s="26">
        <v>210</v>
      </c>
      <c r="E225" s="23">
        <v>187</v>
      </c>
      <c r="F225" s="26">
        <v>22</v>
      </c>
      <c r="G225" s="26">
        <v>169</v>
      </c>
      <c r="H225" s="26">
        <v>10</v>
      </c>
      <c r="I225" s="28">
        <v>8</v>
      </c>
      <c r="J225" s="18">
        <f>D225-E225</f>
        <v>23</v>
      </c>
    </row>
    <row r="226" spans="1:10" x14ac:dyDescent="0.35">
      <c r="A226" s="26">
        <v>224</v>
      </c>
      <c r="B226" s="27" t="s">
        <v>301</v>
      </c>
      <c r="C226" s="26">
        <v>200</v>
      </c>
      <c r="D226" s="26">
        <v>181</v>
      </c>
      <c r="E226" s="23">
        <v>158</v>
      </c>
      <c r="F226" s="26">
        <v>23</v>
      </c>
      <c r="G226" s="26">
        <v>145</v>
      </c>
      <c r="H226" s="26">
        <v>13</v>
      </c>
      <c r="I226" s="28">
        <v>0</v>
      </c>
      <c r="J226" s="18">
        <f>D226-E226</f>
        <v>23</v>
      </c>
    </row>
    <row r="227" spans="1:10" x14ac:dyDescent="0.35">
      <c r="A227" s="23">
        <v>225</v>
      </c>
      <c r="B227" s="27" t="s">
        <v>136</v>
      </c>
      <c r="C227" s="26">
        <v>35</v>
      </c>
      <c r="D227" s="26">
        <v>34</v>
      </c>
      <c r="E227" s="23">
        <v>11</v>
      </c>
      <c r="F227" s="26">
        <v>23</v>
      </c>
      <c r="G227" s="26">
        <v>10</v>
      </c>
      <c r="H227" s="26">
        <v>1</v>
      </c>
      <c r="I227" s="28">
        <v>0</v>
      </c>
      <c r="J227" s="18">
        <f>D227-E227</f>
        <v>23</v>
      </c>
    </row>
    <row r="228" spans="1:10" x14ac:dyDescent="0.35">
      <c r="A228" s="26">
        <v>226</v>
      </c>
      <c r="B228" s="27" t="s">
        <v>158</v>
      </c>
      <c r="C228" s="26">
        <v>415</v>
      </c>
      <c r="D228" s="26">
        <v>393</v>
      </c>
      <c r="E228" s="23">
        <v>371</v>
      </c>
      <c r="F228" s="26">
        <v>19</v>
      </c>
      <c r="G228" s="26">
        <v>354</v>
      </c>
      <c r="H228" s="26">
        <v>17</v>
      </c>
      <c r="I228" s="28">
        <v>0</v>
      </c>
      <c r="J228" s="18">
        <f>D228-E228</f>
        <v>22</v>
      </c>
    </row>
    <row r="229" spans="1:10" x14ac:dyDescent="0.35">
      <c r="A229" s="23">
        <v>227</v>
      </c>
      <c r="B229" s="27" t="s">
        <v>3</v>
      </c>
      <c r="C229" s="26">
        <v>109</v>
      </c>
      <c r="D229" s="26">
        <v>104</v>
      </c>
      <c r="E229" s="23">
        <v>82</v>
      </c>
      <c r="F229" s="26">
        <v>21</v>
      </c>
      <c r="G229" s="26">
        <v>73</v>
      </c>
      <c r="H229" s="26">
        <v>8</v>
      </c>
      <c r="I229" s="28">
        <v>1</v>
      </c>
      <c r="J229" s="18">
        <f>D229-E229</f>
        <v>22</v>
      </c>
    </row>
    <row r="230" spans="1:10" x14ac:dyDescent="0.35">
      <c r="A230" s="26">
        <v>228</v>
      </c>
      <c r="B230" s="27" t="s">
        <v>171</v>
      </c>
      <c r="C230" s="26">
        <v>107</v>
      </c>
      <c r="D230" s="26">
        <v>88</v>
      </c>
      <c r="E230" s="23">
        <v>67</v>
      </c>
      <c r="F230" s="26">
        <v>20</v>
      </c>
      <c r="G230" s="26">
        <v>65</v>
      </c>
      <c r="H230" s="26">
        <v>2</v>
      </c>
      <c r="I230" s="28">
        <v>0</v>
      </c>
      <c r="J230" s="18">
        <f>D230-E230</f>
        <v>21</v>
      </c>
    </row>
    <row r="231" spans="1:10" x14ac:dyDescent="0.35">
      <c r="A231" s="23">
        <v>229</v>
      </c>
      <c r="B231" s="27" t="s">
        <v>10</v>
      </c>
      <c r="C231" s="26">
        <v>221</v>
      </c>
      <c r="D231" s="26">
        <v>213</v>
      </c>
      <c r="E231" s="23">
        <v>192</v>
      </c>
      <c r="F231" s="26">
        <v>20</v>
      </c>
      <c r="G231" s="26">
        <v>141</v>
      </c>
      <c r="H231" s="26">
        <v>51</v>
      </c>
      <c r="I231" s="28">
        <v>0</v>
      </c>
      <c r="J231" s="18">
        <f>D231-E231</f>
        <v>21</v>
      </c>
    </row>
    <row r="232" spans="1:10" x14ac:dyDescent="0.35">
      <c r="A232" s="26">
        <v>230</v>
      </c>
      <c r="B232" s="27" t="s">
        <v>165</v>
      </c>
      <c r="C232" s="26">
        <v>63</v>
      </c>
      <c r="D232" s="26">
        <v>59</v>
      </c>
      <c r="E232" s="23">
        <v>38</v>
      </c>
      <c r="F232" s="26">
        <v>18</v>
      </c>
      <c r="G232" s="26">
        <v>23</v>
      </c>
      <c r="H232" s="26">
        <v>15</v>
      </c>
      <c r="I232" s="28">
        <v>0</v>
      </c>
      <c r="J232" s="18">
        <f>D232-E232</f>
        <v>21</v>
      </c>
    </row>
    <row r="233" spans="1:10" x14ac:dyDescent="0.35">
      <c r="A233" s="23">
        <v>231</v>
      </c>
      <c r="B233" s="27" t="s">
        <v>13</v>
      </c>
      <c r="C233" s="26">
        <v>161</v>
      </c>
      <c r="D233" s="26">
        <v>138</v>
      </c>
      <c r="E233" s="23">
        <v>118</v>
      </c>
      <c r="F233" s="26">
        <v>20</v>
      </c>
      <c r="G233" s="26">
        <v>116</v>
      </c>
      <c r="H233" s="26">
        <v>2</v>
      </c>
      <c r="I233" s="28">
        <v>0</v>
      </c>
      <c r="J233" s="18">
        <f>D233-E233</f>
        <v>20</v>
      </c>
    </row>
    <row r="234" spans="1:10" x14ac:dyDescent="0.35">
      <c r="A234" s="26">
        <v>232</v>
      </c>
      <c r="B234" s="27" t="s">
        <v>173</v>
      </c>
      <c r="C234" s="26">
        <v>64</v>
      </c>
      <c r="D234" s="26">
        <v>61</v>
      </c>
      <c r="E234" s="23">
        <v>41</v>
      </c>
      <c r="F234" s="26">
        <v>20</v>
      </c>
      <c r="G234" s="26">
        <v>37</v>
      </c>
      <c r="H234" s="26">
        <v>3</v>
      </c>
      <c r="I234" s="28">
        <v>1</v>
      </c>
      <c r="J234" s="18">
        <f>D234-E234</f>
        <v>20</v>
      </c>
    </row>
    <row r="235" spans="1:10" x14ac:dyDescent="0.35">
      <c r="A235" s="23">
        <v>233</v>
      </c>
      <c r="B235" s="27" t="s">
        <v>239</v>
      </c>
      <c r="C235" s="26">
        <v>107</v>
      </c>
      <c r="D235" s="26">
        <v>72</v>
      </c>
      <c r="E235" s="23">
        <v>53</v>
      </c>
      <c r="F235" s="26">
        <v>19</v>
      </c>
      <c r="G235" s="26">
        <v>53</v>
      </c>
      <c r="H235" s="26">
        <v>0</v>
      </c>
      <c r="I235" s="28">
        <v>0</v>
      </c>
      <c r="J235" s="18">
        <f>D235-E235</f>
        <v>19</v>
      </c>
    </row>
    <row r="236" spans="1:10" x14ac:dyDescent="0.35">
      <c r="A236" s="26">
        <v>234</v>
      </c>
      <c r="B236" s="27" t="s">
        <v>29</v>
      </c>
      <c r="C236" s="26">
        <v>245</v>
      </c>
      <c r="D236" s="26">
        <v>188</v>
      </c>
      <c r="E236" s="23">
        <v>170</v>
      </c>
      <c r="F236" s="26">
        <v>16</v>
      </c>
      <c r="G236" s="26">
        <v>96</v>
      </c>
      <c r="H236" s="26">
        <v>74</v>
      </c>
      <c r="I236" s="28">
        <v>0</v>
      </c>
      <c r="J236" s="18">
        <f>D236-E236</f>
        <v>18</v>
      </c>
    </row>
    <row r="237" spans="1:10" x14ac:dyDescent="0.35">
      <c r="A237" s="23">
        <v>235</v>
      </c>
      <c r="B237" s="27" t="s">
        <v>195</v>
      </c>
      <c r="C237" s="26">
        <v>376</v>
      </c>
      <c r="D237" s="26">
        <v>354</v>
      </c>
      <c r="E237" s="23">
        <v>336</v>
      </c>
      <c r="F237" s="26">
        <v>15</v>
      </c>
      <c r="G237" s="26">
        <v>322</v>
      </c>
      <c r="H237" s="26">
        <v>14</v>
      </c>
      <c r="I237" s="28">
        <v>0</v>
      </c>
      <c r="J237" s="18">
        <f>D237-E237</f>
        <v>18</v>
      </c>
    </row>
    <row r="238" spans="1:10" x14ac:dyDescent="0.35">
      <c r="A238" s="26">
        <v>236</v>
      </c>
      <c r="B238" s="27" t="s">
        <v>80</v>
      </c>
      <c r="C238" s="26">
        <v>228</v>
      </c>
      <c r="D238" s="26">
        <v>209</v>
      </c>
      <c r="E238" s="23">
        <v>191</v>
      </c>
      <c r="F238" s="26">
        <v>16</v>
      </c>
      <c r="G238" s="26">
        <v>184</v>
      </c>
      <c r="H238" s="26">
        <v>7</v>
      </c>
      <c r="I238" s="28">
        <v>0</v>
      </c>
      <c r="J238" s="18">
        <f>D238-E238</f>
        <v>18</v>
      </c>
    </row>
    <row r="239" spans="1:10" x14ac:dyDescent="0.35">
      <c r="A239" s="23">
        <v>237</v>
      </c>
      <c r="B239" s="27" t="s">
        <v>228</v>
      </c>
      <c r="C239" s="26">
        <v>100</v>
      </c>
      <c r="D239" s="26">
        <v>87</v>
      </c>
      <c r="E239" s="23">
        <v>69</v>
      </c>
      <c r="F239" s="26">
        <v>17</v>
      </c>
      <c r="G239" s="26">
        <v>60</v>
      </c>
      <c r="H239" s="26">
        <v>8</v>
      </c>
      <c r="I239" s="28">
        <v>1</v>
      </c>
      <c r="J239" s="18">
        <f>D239-E239</f>
        <v>18</v>
      </c>
    </row>
    <row r="240" spans="1:10" x14ac:dyDescent="0.35">
      <c r="A240" s="26">
        <v>238</v>
      </c>
      <c r="B240" s="27" t="s">
        <v>40</v>
      </c>
      <c r="C240" s="26">
        <v>94</v>
      </c>
      <c r="D240" s="26">
        <v>90</v>
      </c>
      <c r="E240" s="23">
        <v>72</v>
      </c>
      <c r="F240" s="26">
        <v>17</v>
      </c>
      <c r="G240" s="26">
        <v>51</v>
      </c>
      <c r="H240" s="26">
        <v>16</v>
      </c>
      <c r="I240" s="28">
        <v>5</v>
      </c>
      <c r="J240" s="18">
        <f>D240-E240</f>
        <v>18</v>
      </c>
    </row>
    <row r="241" spans="1:10" x14ac:dyDescent="0.35">
      <c r="A241" s="23">
        <v>239</v>
      </c>
      <c r="B241" s="27" t="s">
        <v>22</v>
      </c>
      <c r="C241" s="26">
        <v>557</v>
      </c>
      <c r="D241" s="26">
        <v>472</v>
      </c>
      <c r="E241" s="23">
        <v>457</v>
      </c>
      <c r="F241" s="26">
        <v>2</v>
      </c>
      <c r="G241" s="26">
        <v>457</v>
      </c>
      <c r="H241" s="26">
        <v>0</v>
      </c>
      <c r="I241" s="28">
        <v>0</v>
      </c>
      <c r="J241" s="18">
        <f>D241-E241</f>
        <v>15</v>
      </c>
    </row>
    <row r="242" spans="1:10" x14ac:dyDescent="0.35">
      <c r="A242" s="26">
        <v>240</v>
      </c>
      <c r="B242" s="27" t="s">
        <v>116</v>
      </c>
      <c r="C242" s="26">
        <v>161</v>
      </c>
      <c r="D242" s="26">
        <v>149</v>
      </c>
      <c r="E242" s="23">
        <v>134</v>
      </c>
      <c r="F242" s="26">
        <v>15</v>
      </c>
      <c r="G242" s="26">
        <v>111</v>
      </c>
      <c r="H242" s="26">
        <v>23</v>
      </c>
      <c r="I242" s="28">
        <v>0</v>
      </c>
      <c r="J242" s="18">
        <f>D242-E242</f>
        <v>15</v>
      </c>
    </row>
    <row r="243" spans="1:10" x14ac:dyDescent="0.35">
      <c r="A243" s="23">
        <v>241</v>
      </c>
      <c r="B243" s="27" t="s">
        <v>258</v>
      </c>
      <c r="C243" s="26">
        <v>60</v>
      </c>
      <c r="D243" s="26">
        <v>60</v>
      </c>
      <c r="E243" s="23">
        <v>46</v>
      </c>
      <c r="F243" s="26">
        <v>11</v>
      </c>
      <c r="G243" s="26">
        <v>43</v>
      </c>
      <c r="H243" s="26">
        <v>2</v>
      </c>
      <c r="I243" s="28">
        <v>1</v>
      </c>
      <c r="J243" s="18">
        <f>D243-E243</f>
        <v>14</v>
      </c>
    </row>
    <row r="244" spans="1:10" x14ac:dyDescent="0.35">
      <c r="A244" s="26">
        <v>242</v>
      </c>
      <c r="B244" s="27" t="s">
        <v>230</v>
      </c>
      <c r="C244" s="26">
        <v>181</v>
      </c>
      <c r="D244" s="26">
        <v>98</v>
      </c>
      <c r="E244" s="23">
        <v>85</v>
      </c>
      <c r="F244" s="26">
        <v>13</v>
      </c>
      <c r="G244" s="26">
        <v>85</v>
      </c>
      <c r="H244" s="26">
        <v>0</v>
      </c>
      <c r="I244" s="28">
        <v>0</v>
      </c>
      <c r="J244" s="18">
        <f>D244-E244</f>
        <v>13</v>
      </c>
    </row>
    <row r="245" spans="1:10" x14ac:dyDescent="0.35">
      <c r="A245" s="23">
        <v>243</v>
      </c>
      <c r="B245" s="27" t="s">
        <v>92</v>
      </c>
      <c r="C245" s="26">
        <v>320</v>
      </c>
      <c r="D245" s="26">
        <v>310</v>
      </c>
      <c r="E245" s="23">
        <v>297</v>
      </c>
      <c r="F245" s="26">
        <v>12</v>
      </c>
      <c r="G245" s="26">
        <v>296</v>
      </c>
      <c r="H245" s="26">
        <v>1</v>
      </c>
      <c r="I245" s="28">
        <v>0</v>
      </c>
      <c r="J245" s="18">
        <f>D245-E245</f>
        <v>13</v>
      </c>
    </row>
    <row r="246" spans="1:10" x14ac:dyDescent="0.35">
      <c r="A246" s="26">
        <v>244</v>
      </c>
      <c r="B246" s="27" t="s">
        <v>166</v>
      </c>
      <c r="C246" s="26">
        <v>224</v>
      </c>
      <c r="D246" s="26">
        <v>108</v>
      </c>
      <c r="E246" s="23">
        <v>96</v>
      </c>
      <c r="F246" s="26">
        <v>12</v>
      </c>
      <c r="G246" s="26">
        <v>87</v>
      </c>
      <c r="H246" s="26">
        <v>9</v>
      </c>
      <c r="I246" s="28">
        <v>0</v>
      </c>
      <c r="J246" s="18">
        <f>D246-E246</f>
        <v>12</v>
      </c>
    </row>
    <row r="247" spans="1:10" x14ac:dyDescent="0.35">
      <c r="A247" s="23">
        <v>245</v>
      </c>
      <c r="B247" s="27" t="s">
        <v>9</v>
      </c>
      <c r="C247" s="26">
        <v>42</v>
      </c>
      <c r="D247" s="26">
        <v>42</v>
      </c>
      <c r="E247" s="23">
        <v>30</v>
      </c>
      <c r="F247" s="26">
        <v>12</v>
      </c>
      <c r="G247" s="26">
        <v>28</v>
      </c>
      <c r="H247" s="26">
        <v>2</v>
      </c>
      <c r="I247" s="28">
        <v>0</v>
      </c>
      <c r="J247" s="18">
        <f>D247-E247</f>
        <v>12</v>
      </c>
    </row>
    <row r="248" spans="1:10" x14ac:dyDescent="0.35">
      <c r="A248" s="26">
        <v>246</v>
      </c>
      <c r="B248" s="27" t="s">
        <v>110</v>
      </c>
      <c r="C248" s="26">
        <v>541</v>
      </c>
      <c r="D248" s="26">
        <v>440</v>
      </c>
      <c r="E248" s="23">
        <v>429</v>
      </c>
      <c r="F248" s="26">
        <v>10</v>
      </c>
      <c r="G248" s="26">
        <v>390</v>
      </c>
      <c r="H248" s="26">
        <v>39</v>
      </c>
      <c r="I248" s="28">
        <v>0</v>
      </c>
      <c r="J248" s="18">
        <f>D248-E248</f>
        <v>11</v>
      </c>
    </row>
    <row r="249" spans="1:10" x14ac:dyDescent="0.35">
      <c r="A249" s="23">
        <v>247</v>
      </c>
      <c r="B249" s="27" t="s">
        <v>169</v>
      </c>
      <c r="C249" s="26">
        <v>126</v>
      </c>
      <c r="D249" s="26">
        <v>24</v>
      </c>
      <c r="E249" s="23">
        <v>14</v>
      </c>
      <c r="F249" s="26">
        <v>9</v>
      </c>
      <c r="G249" s="26">
        <v>11</v>
      </c>
      <c r="H249" s="26">
        <v>3</v>
      </c>
      <c r="I249" s="28">
        <v>0</v>
      </c>
      <c r="J249" s="18">
        <f>D249-E249</f>
        <v>10</v>
      </c>
    </row>
    <row r="250" spans="1:10" x14ac:dyDescent="0.35">
      <c r="A250" s="26">
        <v>248</v>
      </c>
      <c r="B250" s="27" t="s">
        <v>304</v>
      </c>
      <c r="C250" s="26">
        <v>20</v>
      </c>
      <c r="D250" s="26">
        <v>16</v>
      </c>
      <c r="E250" s="23">
        <v>6</v>
      </c>
      <c r="F250" s="26">
        <v>10</v>
      </c>
      <c r="G250" s="26">
        <v>6</v>
      </c>
      <c r="H250" s="26">
        <v>0</v>
      </c>
      <c r="I250" s="28">
        <v>0</v>
      </c>
      <c r="J250" s="18">
        <f>D250-E250</f>
        <v>10</v>
      </c>
    </row>
    <row r="251" spans="1:10" x14ac:dyDescent="0.35">
      <c r="A251" s="23">
        <v>249</v>
      </c>
      <c r="B251" s="27" t="s">
        <v>172</v>
      </c>
      <c r="C251" s="26">
        <v>72</v>
      </c>
      <c r="D251" s="26">
        <v>72</v>
      </c>
      <c r="E251" s="23">
        <v>62</v>
      </c>
      <c r="F251" s="26">
        <v>10</v>
      </c>
      <c r="G251" s="26">
        <v>40</v>
      </c>
      <c r="H251" s="26">
        <v>22</v>
      </c>
      <c r="I251" s="28">
        <v>0</v>
      </c>
      <c r="J251" s="18">
        <f>D251-E251</f>
        <v>10</v>
      </c>
    </row>
    <row r="252" spans="1:10" x14ac:dyDescent="0.35">
      <c r="A252" s="26">
        <v>250</v>
      </c>
      <c r="B252" s="27" t="s">
        <v>73</v>
      </c>
      <c r="C252" s="26">
        <v>125</v>
      </c>
      <c r="D252" s="26">
        <v>112</v>
      </c>
      <c r="E252" s="23">
        <v>103</v>
      </c>
      <c r="F252" s="26">
        <v>9</v>
      </c>
      <c r="G252" s="26">
        <v>102</v>
      </c>
      <c r="H252" s="26">
        <v>1</v>
      </c>
      <c r="I252" s="28">
        <v>0</v>
      </c>
      <c r="J252" s="18">
        <f>D252-E252</f>
        <v>9</v>
      </c>
    </row>
    <row r="253" spans="1:10" x14ac:dyDescent="0.35">
      <c r="A253" s="23">
        <v>251</v>
      </c>
      <c r="B253" s="27" t="s">
        <v>142</v>
      </c>
      <c r="C253" s="26">
        <v>46</v>
      </c>
      <c r="D253" s="26">
        <v>42</v>
      </c>
      <c r="E253" s="23">
        <v>33</v>
      </c>
      <c r="F253" s="26">
        <v>9</v>
      </c>
      <c r="G253" s="26">
        <v>33</v>
      </c>
      <c r="H253" s="26">
        <v>0</v>
      </c>
      <c r="I253" s="28">
        <v>0</v>
      </c>
      <c r="J253" s="18">
        <f>D253-E253</f>
        <v>9</v>
      </c>
    </row>
    <row r="254" spans="1:10" x14ac:dyDescent="0.35">
      <c r="A254" s="26">
        <v>252</v>
      </c>
      <c r="B254" s="27" t="s">
        <v>41</v>
      </c>
      <c r="C254" s="26">
        <v>246</v>
      </c>
      <c r="D254" s="26">
        <v>237</v>
      </c>
      <c r="E254" s="23">
        <v>229</v>
      </c>
      <c r="F254" s="26">
        <v>8</v>
      </c>
      <c r="G254" s="26">
        <v>218</v>
      </c>
      <c r="H254" s="26">
        <v>11</v>
      </c>
      <c r="I254" s="28">
        <v>0</v>
      </c>
      <c r="J254" s="18">
        <f>D254-E254</f>
        <v>8</v>
      </c>
    </row>
    <row r="255" spans="1:10" x14ac:dyDescent="0.35">
      <c r="A255" s="23">
        <v>253</v>
      </c>
      <c r="B255" s="27" t="s">
        <v>140</v>
      </c>
      <c r="C255" s="26">
        <v>56</v>
      </c>
      <c r="D255" s="26">
        <v>54</v>
      </c>
      <c r="E255" s="23">
        <v>46</v>
      </c>
      <c r="F255" s="26">
        <v>8</v>
      </c>
      <c r="G255" s="26">
        <v>37</v>
      </c>
      <c r="H255" s="26">
        <v>9</v>
      </c>
      <c r="I255" s="28">
        <v>0</v>
      </c>
      <c r="J255" s="18">
        <f>D255-E255</f>
        <v>8</v>
      </c>
    </row>
    <row r="256" spans="1:10" x14ac:dyDescent="0.35">
      <c r="A256" s="26">
        <v>254</v>
      </c>
      <c r="B256" s="27" t="s">
        <v>297</v>
      </c>
      <c r="C256" s="26">
        <v>135</v>
      </c>
      <c r="D256" s="26">
        <v>102</v>
      </c>
      <c r="E256" s="23">
        <v>95</v>
      </c>
      <c r="F256" s="26">
        <v>5</v>
      </c>
      <c r="G256" s="26">
        <v>80</v>
      </c>
      <c r="H256" s="26">
        <v>15</v>
      </c>
      <c r="I256" s="28">
        <v>0</v>
      </c>
      <c r="J256" s="18">
        <f>D256-E256</f>
        <v>7</v>
      </c>
    </row>
    <row r="257" spans="1:10" x14ac:dyDescent="0.35">
      <c r="A257" s="23">
        <v>255</v>
      </c>
      <c r="B257" s="27" t="s">
        <v>82</v>
      </c>
      <c r="C257" s="26">
        <v>170</v>
      </c>
      <c r="D257" s="26">
        <v>145</v>
      </c>
      <c r="E257" s="23">
        <v>141</v>
      </c>
      <c r="F257" s="26">
        <v>4</v>
      </c>
      <c r="G257" s="26">
        <v>138</v>
      </c>
      <c r="H257" s="26">
        <v>3</v>
      </c>
      <c r="I257" s="28">
        <v>0</v>
      </c>
      <c r="J257" s="18">
        <f>D257-E257</f>
        <v>4</v>
      </c>
    </row>
    <row r="258" spans="1:10" x14ac:dyDescent="0.35">
      <c r="A258" s="26">
        <v>256</v>
      </c>
      <c r="B258" s="27" t="s">
        <v>145</v>
      </c>
      <c r="C258" s="26">
        <v>99</v>
      </c>
      <c r="D258" s="26">
        <v>89</v>
      </c>
      <c r="E258" s="23">
        <v>85</v>
      </c>
      <c r="F258" s="26">
        <v>4</v>
      </c>
      <c r="G258" s="26">
        <v>56</v>
      </c>
      <c r="H258" s="26">
        <v>29</v>
      </c>
      <c r="I258" s="28">
        <v>0</v>
      </c>
      <c r="J258" s="18">
        <f>D258-E258</f>
        <v>4</v>
      </c>
    </row>
    <row r="259" spans="1:10" x14ac:dyDescent="0.35">
      <c r="A259" s="23">
        <v>257</v>
      </c>
      <c r="B259" s="27" t="s">
        <v>177</v>
      </c>
      <c r="C259" s="26">
        <v>1188</v>
      </c>
      <c r="D259" s="26">
        <v>146</v>
      </c>
      <c r="E259" s="23">
        <v>143</v>
      </c>
      <c r="F259" s="26">
        <v>2</v>
      </c>
      <c r="G259" s="26">
        <v>133</v>
      </c>
      <c r="H259" s="26">
        <v>10</v>
      </c>
      <c r="I259" s="28">
        <v>0</v>
      </c>
      <c r="J259" s="18">
        <f>D259-E259</f>
        <v>3</v>
      </c>
    </row>
    <row r="260" spans="1:10" x14ac:dyDescent="0.35">
      <c r="A260" s="26">
        <v>258</v>
      </c>
      <c r="B260" s="27" t="s">
        <v>200</v>
      </c>
      <c r="C260" s="26">
        <v>61</v>
      </c>
      <c r="D260" s="26">
        <v>2</v>
      </c>
      <c r="E260" s="23">
        <v>0</v>
      </c>
      <c r="F260" s="26">
        <v>2</v>
      </c>
      <c r="G260" s="26">
        <v>0</v>
      </c>
      <c r="H260" s="26">
        <v>0</v>
      </c>
      <c r="I260" s="28">
        <v>0</v>
      </c>
      <c r="J260" s="18">
        <f>D260-E260</f>
        <v>2</v>
      </c>
    </row>
    <row r="261" spans="1:10" x14ac:dyDescent="0.35">
      <c r="A261" s="23">
        <v>259</v>
      </c>
      <c r="B261" s="27" t="s">
        <v>15</v>
      </c>
      <c r="C261" s="26">
        <v>36</v>
      </c>
      <c r="D261" s="26">
        <v>36</v>
      </c>
      <c r="E261" s="23">
        <v>34</v>
      </c>
      <c r="F261" s="26">
        <v>2</v>
      </c>
      <c r="G261" s="26">
        <v>23</v>
      </c>
      <c r="H261" s="26">
        <v>10</v>
      </c>
      <c r="I261" s="28">
        <v>1</v>
      </c>
      <c r="J261" s="18">
        <f>D261-E261</f>
        <v>2</v>
      </c>
    </row>
    <row r="262" spans="1:10" x14ac:dyDescent="0.35">
      <c r="A262" s="29"/>
      <c r="B262" s="30" t="s">
        <v>1</v>
      </c>
      <c r="C262" s="31">
        <f>SUM(C3:C261)</f>
        <v>175235</v>
      </c>
      <c r="D262" s="31">
        <f t="shared" ref="D262:J262" si="0">SUM(D3:D261)</f>
        <v>131175</v>
      </c>
      <c r="E262" s="31">
        <f t="shared" si="0"/>
        <v>83912</v>
      </c>
      <c r="F262" s="31">
        <f t="shared" si="0"/>
        <v>40916</v>
      </c>
      <c r="G262" s="31">
        <f t="shared" si="0"/>
        <v>77763</v>
      </c>
      <c r="H262" s="31">
        <f t="shared" si="0"/>
        <v>5661</v>
      </c>
      <c r="I262" s="31">
        <f t="shared" si="0"/>
        <v>488</v>
      </c>
      <c r="J262" s="31">
        <f t="shared" si="0"/>
        <v>47263</v>
      </c>
    </row>
  </sheetData>
  <autoFilter ref="A2:J2">
    <sortState ref="A3:J262">
      <sortCondition descending="1" ref="J2"/>
    </sortState>
  </autoFilter>
  <mergeCells count="1">
    <mergeCell ref="A1:J1"/>
  </mergeCells>
  <printOptions horizontalCentered="1"/>
  <pageMargins left="0.5" right="0.5" top="0.5" bottom="0.5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ULB_Wise_Report_22 October 2026</vt:lpstr>
      <vt:lpstr>Sheet4</vt:lpstr>
      <vt:lpstr>Grounded</vt:lpstr>
      <vt:lpstr>lintel</vt:lpstr>
      <vt:lpstr>Grounded!Print_Area</vt:lpstr>
      <vt:lpstr>Grounded!Print_Titles</vt:lpstr>
      <vt:lpstr>lintel!Print_Titles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cp:lastPrinted>2026-10-22T06:06:24Z</cp:lastPrinted>
  <dcterms:created xsi:type="dcterms:W3CDTF">2026-10-22T05:13:31Z</dcterms:created>
  <dcterms:modified xsi:type="dcterms:W3CDTF">2026-10-22T06:06:31Z</dcterms:modified>
</cp:coreProperties>
</file>